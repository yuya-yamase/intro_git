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113105A00BMNY\Desktop\iVDsh\"/>
    </mc:Choice>
  </mc:AlternateContent>
  <xr:revisionPtr revIDLastSave="0" documentId="13_ncr:1_{BC120D5A-F031-476E-947D-6B5328C32C1F}" xr6:coauthVersionLast="47" xr6:coauthVersionMax="47" xr10:uidLastSave="{00000000-0000-0000-0000-000000000000}"/>
  <bookViews>
    <workbookView xWindow="780" yWindow="780" windowWidth="12075" windowHeight="12300" firstSheet="1"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Table'!$A$1:$P$37</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Z41" i="84"/>
  <c r="BG41" i="84" s="1"/>
  <c r="R41" i="84"/>
  <c r="BL41" i="84" s="1"/>
  <c r="J41" i="84"/>
  <c r="BK40" i="84"/>
  <c r="BE40" i="84"/>
  <c r="AP40" i="84"/>
  <c r="BO40" i="84" s="1"/>
  <c r="Z40" i="84"/>
  <c r="BG40" i="84" s="1"/>
  <c r="R40" i="84"/>
  <c r="BL40" i="84" s="1"/>
  <c r="J40" i="84"/>
  <c r="BK39" i="84"/>
  <c r="BE39" i="84"/>
  <c r="AP39" i="84"/>
  <c r="BO39" i="84" s="1"/>
  <c r="Z39" i="84"/>
  <c r="BG39" i="84" s="1"/>
  <c r="R39" i="84"/>
  <c r="BL39" i="84" s="1"/>
  <c r="J39" i="84"/>
  <c r="BK38" i="84"/>
  <c r="BE38" i="84"/>
  <c r="AP38" i="84"/>
  <c r="BI38" i="84" s="1"/>
  <c r="Z38" i="84"/>
  <c r="BG38" i="84" s="1"/>
  <c r="R38" i="84"/>
  <c r="BL38" i="84" s="1"/>
  <c r="J38" i="84"/>
  <c r="BK37" i="84"/>
  <c r="BE37" i="84"/>
  <c r="AP37" i="84"/>
  <c r="BO37" i="84" s="1"/>
  <c r="Z37" i="84"/>
  <c r="BM37" i="84" s="1"/>
  <c r="R37" i="84"/>
  <c r="BL37" i="84" s="1"/>
  <c r="J37" i="84"/>
  <c r="BK36" i="84"/>
  <c r="BE36" i="84"/>
  <c r="AP36" i="84"/>
  <c r="BO36" i="84" s="1"/>
  <c r="Z36" i="84"/>
  <c r="BM36" i="84" s="1"/>
  <c r="R36" i="84"/>
  <c r="BF36" i="84" s="1"/>
  <c r="J36" i="84"/>
  <c r="BK35" i="84"/>
  <c r="BE35" i="84"/>
  <c r="AP35" i="84"/>
  <c r="BO35" i="84" s="1"/>
  <c r="Z35" i="84"/>
  <c r="BM35" i="84" s="1"/>
  <c r="R35" i="84"/>
  <c r="BL35" i="84" s="1"/>
  <c r="J35" i="84"/>
  <c r="BK34" i="84"/>
  <c r="BE34" i="84"/>
  <c r="AP34" i="84"/>
  <c r="BI34" i="84" s="1"/>
  <c r="Z34" i="84"/>
  <c r="BM34" i="84" s="1"/>
  <c r="R34" i="84"/>
  <c r="BL34" i="84" s="1"/>
  <c r="J34" i="84"/>
  <c r="BK33" i="84"/>
  <c r="BE33" i="84"/>
  <c r="AP33" i="84"/>
  <c r="BO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R28" i="84"/>
  <c r="BF28" i="84" s="1"/>
  <c r="R27" i="84"/>
  <c r="BF27" i="84" s="1"/>
  <c r="R26" i="84"/>
  <c r="BF26" i="84" s="1"/>
  <c r="BB25" i="84"/>
  <c r="R25" i="84"/>
  <c r="BF25" i="84" s="1"/>
  <c r="R24" i="84"/>
  <c r="BF24"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AP41" i="83"/>
  <c r="BI41" i="83" s="1"/>
  <c r="Z41" i="83"/>
  <c r="BM41" i="83" s="1"/>
  <c r="R41" i="83"/>
  <c r="BF41" i="83" s="1"/>
  <c r="AP40" i="83"/>
  <c r="BI40" i="83" s="1"/>
  <c r="Z40" i="83"/>
  <c r="BM40" i="83" s="1"/>
  <c r="R40" i="83"/>
  <c r="BF40" i="83" s="1"/>
  <c r="AP39" i="83"/>
  <c r="BO39" i="83" s="1"/>
  <c r="Z39" i="83"/>
  <c r="BM39" i="83" s="1"/>
  <c r="R39" i="83"/>
  <c r="BF39" i="83" s="1"/>
  <c r="AP38" i="83"/>
  <c r="BO38" i="83" s="1"/>
  <c r="Z38" i="83"/>
  <c r="BG38" i="83" s="1"/>
  <c r="R38" i="83"/>
  <c r="BF38" i="83" s="1"/>
  <c r="AP37" i="83"/>
  <c r="BI37" i="83" s="1"/>
  <c r="Z37" i="83"/>
  <c r="BG37" i="83" s="1"/>
  <c r="R37" i="83"/>
  <c r="BF37" i="83" s="1"/>
  <c r="AP36" i="83"/>
  <c r="BI36" i="83" s="1"/>
  <c r="Z36" i="83"/>
  <c r="BG36" i="83" s="1"/>
  <c r="R36" i="83"/>
  <c r="BF36" i="83" s="1"/>
  <c r="AP35" i="83"/>
  <c r="BO35" i="83" s="1"/>
  <c r="Z35" i="83"/>
  <c r="BM35" i="83" s="1"/>
  <c r="R35" i="83"/>
  <c r="BF35" i="83" s="1"/>
  <c r="AP34" i="83"/>
  <c r="BI34" i="83" s="1"/>
  <c r="Z34" i="83"/>
  <c r="BM34" i="83" s="1"/>
  <c r="R34" i="83"/>
  <c r="BF34" i="83" s="1"/>
  <c r="AP33" i="83"/>
  <c r="BI33" i="83" s="1"/>
  <c r="R33" i="83"/>
  <c r="BF33" i="83" s="1"/>
  <c r="AP32" i="83"/>
  <c r="BI32" i="83" s="1"/>
  <c r="R32" i="83"/>
  <c r="BF32" i="83" s="1"/>
  <c r="AP31" i="83"/>
  <c r="BI31" i="83" s="1"/>
  <c r="R31" i="83"/>
  <c r="BL31" i="83" s="1"/>
  <c r="AP30" i="83"/>
  <c r="BO30" i="83" s="1"/>
  <c r="R30" i="83"/>
  <c r="BF30" i="83" s="1"/>
  <c r="AP29" i="83"/>
  <c r="BO29" i="83" s="1"/>
  <c r="R29" i="83"/>
  <c r="BL29" i="83" s="1"/>
  <c r="R28" i="83"/>
  <c r="BF28" i="83" s="1"/>
  <c r="R27" i="83"/>
  <c r="BL27" i="83" s="1"/>
  <c r="R26" i="83"/>
  <c r="BF26" i="83" s="1"/>
  <c r="BB25" i="83"/>
  <c r="R25" i="83"/>
  <c r="BF25" i="83" s="1"/>
  <c r="R24" i="83"/>
  <c r="BF24"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P26" i="83" s="1"/>
  <c r="BI26" i="83" s="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Z41" i="82"/>
  <c r="BG41" i="82" s="1"/>
  <c r="R41" i="82"/>
  <c r="BF41" i="82" s="1"/>
  <c r="J41" i="82"/>
  <c r="BK40" i="82"/>
  <c r="BE40" i="82"/>
  <c r="AP40" i="82"/>
  <c r="BO40" i="82" s="1"/>
  <c r="Z40" i="82"/>
  <c r="BG40" i="82" s="1"/>
  <c r="R40" i="82"/>
  <c r="BF40" i="82" s="1"/>
  <c r="J40" i="82"/>
  <c r="BK39" i="82"/>
  <c r="BE39" i="82"/>
  <c r="AP39" i="82"/>
  <c r="BO39" i="82" s="1"/>
  <c r="Z39" i="82"/>
  <c r="BG39" i="82" s="1"/>
  <c r="R39" i="82"/>
  <c r="BL39" i="82" s="1"/>
  <c r="J39" i="82"/>
  <c r="BK38" i="82"/>
  <c r="BE38" i="82"/>
  <c r="AP38" i="82"/>
  <c r="BI38" i="82" s="1"/>
  <c r="Z38" i="82"/>
  <c r="BG38" i="82" s="1"/>
  <c r="R38" i="82"/>
  <c r="BF38" i="82" s="1"/>
  <c r="J38" i="82"/>
  <c r="BK37" i="82"/>
  <c r="BE37" i="82"/>
  <c r="AP37" i="82"/>
  <c r="BI37" i="82" s="1"/>
  <c r="Z37" i="82"/>
  <c r="BM37" i="82" s="1"/>
  <c r="R37" i="82"/>
  <c r="BL37" i="82" s="1"/>
  <c r="J37" i="82"/>
  <c r="BK36" i="82"/>
  <c r="BE36" i="82"/>
  <c r="AP36" i="82"/>
  <c r="BO36" i="82" s="1"/>
  <c r="Z36" i="82"/>
  <c r="BG36" i="82" s="1"/>
  <c r="R36" i="82"/>
  <c r="BL36" i="82" s="1"/>
  <c r="J36" i="82"/>
  <c r="BK35" i="82"/>
  <c r="BE35" i="82"/>
  <c r="AP35" i="82"/>
  <c r="BI35" i="82" s="1"/>
  <c r="Z35" i="82"/>
  <c r="BG35" i="82" s="1"/>
  <c r="R35" i="82"/>
  <c r="BL35" i="82" s="1"/>
  <c r="J35" i="82"/>
  <c r="BK34" i="82"/>
  <c r="BE34" i="82"/>
  <c r="AP34" i="82"/>
  <c r="BI34" i="82" s="1"/>
  <c r="Z34" i="82"/>
  <c r="BM34" i="82" s="1"/>
  <c r="R34" i="82"/>
  <c r="BL34" i="82" s="1"/>
  <c r="J34" i="82"/>
  <c r="AP33" i="82"/>
  <c r="BI33" i="82" s="1"/>
  <c r="R33" i="82"/>
  <c r="BL33" i="82" s="1"/>
  <c r="AP32" i="82"/>
  <c r="BO32" i="82" s="1"/>
  <c r="R32" i="82"/>
  <c r="BL32" i="82" s="1"/>
  <c r="AP31" i="82"/>
  <c r="BI31" i="82" s="1"/>
  <c r="R31" i="82"/>
  <c r="BL31" i="82" s="1"/>
  <c r="AP30" i="82"/>
  <c r="BO30" i="82" s="1"/>
  <c r="R30" i="82"/>
  <c r="BL30" i="82" s="1"/>
  <c r="AP29" i="82"/>
  <c r="BI29" i="82" s="1"/>
  <c r="R29" i="82"/>
  <c r="BF29" i="82" s="1"/>
  <c r="R28" i="82"/>
  <c r="BF28" i="82" s="1"/>
  <c r="R27" i="82"/>
  <c r="BF27" i="82" s="1"/>
  <c r="R26" i="82"/>
  <c r="BL26" i="82" s="1"/>
  <c r="BB25" i="82"/>
  <c r="R25" i="82"/>
  <c r="BF25" i="82" s="1"/>
  <c r="R24" i="82"/>
  <c r="BF24"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AP25" i="83" l="1"/>
  <c r="BO25" i="83" s="1"/>
  <c r="AP27" i="82"/>
  <c r="BI27" i="82" s="1"/>
  <c r="AP27" i="84"/>
  <c r="BI27" i="84" s="1"/>
  <c r="AP25" i="84"/>
  <c r="BI25" i="84" s="1"/>
  <c r="AP28" i="82"/>
  <c r="BI28" i="82" s="1"/>
  <c r="AP28" i="84"/>
  <c r="BI28" i="84" s="1"/>
  <c r="AP26" i="84"/>
  <c r="BI26" i="84" s="1"/>
  <c r="AH37" i="84"/>
  <c r="BN37" i="84" s="1"/>
  <c r="AH34" i="83"/>
  <c r="BH34" i="83" s="1"/>
  <c r="AH39" i="83"/>
  <c r="BH39" i="83" s="1"/>
  <c r="AH36" i="84"/>
  <c r="BH36" i="84" s="1"/>
  <c r="AH36" i="83"/>
  <c r="BN36" i="83" s="1"/>
  <c r="AH35" i="84"/>
  <c r="BN35" i="84" s="1"/>
  <c r="AH41" i="83"/>
  <c r="BH41" i="83" s="1"/>
  <c r="AH34" i="84"/>
  <c r="BN34" i="84" s="1"/>
  <c r="AH38" i="83"/>
  <c r="BN38" i="83" s="1"/>
  <c r="AH41" i="84"/>
  <c r="BN41" i="84" s="1"/>
  <c r="AH35" i="83"/>
  <c r="BH35" i="83" s="1"/>
  <c r="AH40" i="84"/>
  <c r="BN40" i="84" s="1"/>
  <c r="AH40" i="83"/>
  <c r="BH40" i="83" s="1"/>
  <c r="AH39" i="84"/>
  <c r="BN39" i="84" s="1"/>
  <c r="AH37" i="83"/>
  <c r="BN37" i="83" s="1"/>
  <c r="AH38" i="84"/>
  <c r="BN38" i="84" s="1"/>
  <c r="R23" i="83"/>
  <c r="BF23" i="83" s="1"/>
  <c r="R23" i="82"/>
  <c r="BF23" i="82" s="1"/>
  <c r="Z33" i="82"/>
  <c r="BM33" i="82" s="1"/>
  <c r="Z33" i="83"/>
  <c r="BG33" i="83" s="1"/>
  <c r="AH33" i="83"/>
  <c r="BN33" i="83" s="1"/>
  <c r="Z33" i="84"/>
  <c r="BM33" i="84" s="1"/>
  <c r="AP24" i="82"/>
  <c r="BI24" i="82" s="1"/>
  <c r="AP24" i="84"/>
  <c r="BI24" i="84" s="1"/>
  <c r="Z31" i="82"/>
  <c r="BG31" i="82" s="1"/>
  <c r="AH32" i="83"/>
  <c r="BN32" i="83" s="1"/>
  <c r="AH30" i="83"/>
  <c r="BN30" i="83" s="1"/>
  <c r="Z32" i="82"/>
  <c r="BG32" i="82" s="1"/>
  <c r="AP23" i="82"/>
  <c r="BI23" i="82" s="1"/>
  <c r="AP22" i="82"/>
  <c r="BI22" i="82" s="1"/>
  <c r="AP22" i="84"/>
  <c r="BO22" i="84" s="1"/>
  <c r="BI253" i="82"/>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BN29" i="83" s="1"/>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O32" i="83"/>
  <c r="BG34" i="83"/>
  <c r="BG35"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BE25" i="84" s="1"/>
  <c r="BN187" i="84"/>
  <c r="BH187" i="84"/>
  <c r="BO216" i="84"/>
  <c r="BI216" i="84"/>
  <c r="BO229" i="84"/>
  <c r="BI229" i="84"/>
  <c r="BG327" i="84"/>
  <c r="BM327" i="84"/>
  <c r="BO395" i="84"/>
  <c r="BI395" i="84"/>
  <c r="BO517" i="84"/>
  <c r="BI517" i="84"/>
  <c r="Z21" i="84"/>
  <c r="BM21" i="84" s="1"/>
  <c r="BO32" i="84"/>
  <c r="BL36" i="84"/>
  <c r="BI37" i="84"/>
  <c r="BH42" i="84"/>
  <c r="BN94" i="84"/>
  <c r="BH94" i="84"/>
  <c r="BL103" i="84"/>
  <c r="BN118" i="84"/>
  <c r="BH118" i="84"/>
  <c r="BN146" i="84"/>
  <c r="BL168" i="84"/>
  <c r="BF168" i="84"/>
  <c r="BN191" i="84"/>
  <c r="BH191" i="84"/>
  <c r="BL214" i="84"/>
  <c r="BM222" i="84"/>
  <c r="BG222" i="84"/>
  <c r="BN78" i="84"/>
  <c r="BH78"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I35"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F22" i="84"/>
  <c r="BL22" i="84"/>
  <c r="AB17" i="84"/>
  <c r="AB18" i="84" s="1"/>
  <c r="AB19" i="84" s="1"/>
  <c r="AB20" i="84" s="1"/>
  <c r="AB21" i="84" s="1"/>
  <c r="AB22" i="84" s="1"/>
  <c r="AB23" i="84" s="1"/>
  <c r="AB24" i="84" s="1"/>
  <c r="AB25" i="84" s="1"/>
  <c r="AB26" i="84" s="1"/>
  <c r="AB27" i="84" s="1"/>
  <c r="AB28" i="84" s="1"/>
  <c r="AB29" i="84" s="1"/>
  <c r="AB30" i="84" s="1"/>
  <c r="AB31" i="84" s="1"/>
  <c r="AB32" i="84" s="1"/>
  <c r="AB33" i="84" s="1"/>
  <c r="BO18" i="84"/>
  <c r="BI18" i="84"/>
  <c r="Q15" i="84"/>
  <c r="AW17" i="84"/>
  <c r="BB21" i="84"/>
  <c r="BB23" i="84"/>
  <c r="AD17" i="84"/>
  <c r="AK17" i="84" s="1" a="1"/>
  <c r="AK17" i="84" s="1"/>
  <c r="AK15" i="84" s="1"/>
  <c r="AH19" i="84"/>
  <c r="Z20" i="84"/>
  <c r="BL25" i="84"/>
  <c r="BO28"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BL26" i="84"/>
  <c r="BI33" i="84"/>
  <c r="BG35"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5" i="84"/>
  <c r="BL27" i="84"/>
  <c r="BL30"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N17" i="84"/>
  <c r="U17" i="84" s="1" a="1"/>
  <c r="U17" i="84" s="1"/>
  <c r="U15" i="84" s="1"/>
  <c r="R18" i="84"/>
  <c r="AP20"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39" i="83"/>
  <c r="AL17" i="83"/>
  <c r="J18" i="83"/>
  <c r="J19" i="83" s="1"/>
  <c r="AH24" i="83"/>
  <c r="T25" i="83"/>
  <c r="AH26" i="83"/>
  <c r="BO26" i="83"/>
  <c r="BL28" i="83"/>
  <c r="T34" i="83"/>
  <c r="BL34" i="83"/>
  <c r="S35" i="83"/>
  <c r="BL37" i="83"/>
  <c r="S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S23" i="83" s="1"/>
  <c r="BI25" i="83"/>
  <c r="BF27" i="83"/>
  <c r="S29" i="83"/>
  <c r="BI29" i="83"/>
  <c r="S32" i="83"/>
  <c r="T35" i="83"/>
  <c r="BL35" i="83"/>
  <c r="S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T23"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S24" i="83"/>
  <c r="BL25" i="83"/>
  <c r="S26" i="83"/>
  <c r="AH28" i="83"/>
  <c r="S30" i="83"/>
  <c r="BO34"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F33" i="82"/>
  <c r="BO33" i="82"/>
  <c r="BM35" i="82"/>
  <c r="BG77" i="82"/>
  <c r="BO79" i="82"/>
  <c r="BO83" i="82"/>
  <c r="BO91" i="82"/>
  <c r="BL94" i="82"/>
  <c r="BF94" i="82"/>
  <c r="BL114" i="82"/>
  <c r="BF114" i="82"/>
  <c r="BI115" i="82"/>
  <c r="BL119" i="82"/>
  <c r="BF119" i="82"/>
  <c r="Z20" i="82"/>
  <c r="Z29" i="82"/>
  <c r="BL38" i="82"/>
  <c r="BN80" i="82"/>
  <c r="BO84" i="82"/>
  <c r="BI92" i="82"/>
  <c r="BO92" i="82"/>
  <c r="BH95" i="82"/>
  <c r="BN95" i="82"/>
  <c r="AN17" i="82"/>
  <c r="Z18" i="82"/>
  <c r="R21" i="82"/>
  <c r="Z22" i="82"/>
  <c r="BI30" i="82"/>
  <c r="BF35" i="82"/>
  <c r="BG37" i="82"/>
  <c r="BO80" i="82"/>
  <c r="BO85" i="82"/>
  <c r="P17" i="82"/>
  <c r="R19" i="82"/>
  <c r="Z24" i="82"/>
  <c r="Z26" i="82"/>
  <c r="Z30" i="82"/>
  <c r="BM36"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L27" i="82"/>
  <c r="BO29"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O27" i="84" l="1"/>
  <c r="BO28" i="82"/>
  <c r="BH38" i="83"/>
  <c r="BM31" i="82"/>
  <c r="BO26" i="84"/>
  <c r="BE28" i="84"/>
  <c r="K17" i="84"/>
  <c r="BE17" i="84" s="1"/>
  <c r="BE26" i="84"/>
  <c r="BE27" i="84"/>
  <c r="BN35" i="83"/>
  <c r="BN36" i="84"/>
  <c r="BO24" i="82"/>
  <c r="BN41" i="83"/>
  <c r="BL23" i="82"/>
  <c r="BL23" i="83"/>
  <c r="BH37" i="84"/>
  <c r="BN40" i="83"/>
  <c r="BO22" i="82"/>
  <c r="BH36" i="83"/>
  <c r="BO24" i="84"/>
  <c r="BH32" i="83"/>
  <c r="BH39" i="84"/>
  <c r="BH35" i="84"/>
  <c r="BH34" i="84"/>
  <c r="BH38" i="84"/>
  <c r="BH37" i="83"/>
  <c r="BG33" i="82"/>
  <c r="BH40" i="84"/>
  <c r="AI56" i="83"/>
  <c r="AJ173" i="83"/>
  <c r="AJ137" i="83"/>
  <c r="AJ379" i="83"/>
  <c r="AI479" i="83"/>
  <c r="BM33" i="83"/>
  <c r="BH33" i="83"/>
  <c r="AI30" i="83"/>
  <c r="AJ161" i="83"/>
  <c r="AJ437" i="83"/>
  <c r="AJ58" i="83"/>
  <c r="AJ220" i="83"/>
  <c r="AJ66" i="83"/>
  <c r="AI259" i="83"/>
  <c r="AJ114" i="83"/>
  <c r="AI312" i="83"/>
  <c r="AI103" i="83"/>
  <c r="AI316" i="83"/>
  <c r="BG33" i="84"/>
  <c r="AJ133" i="83"/>
  <c r="AJ361" i="83"/>
  <c r="AJ22" i="83"/>
  <c r="AJ94" i="83"/>
  <c r="AI25" i="83"/>
  <c r="AI109" i="83"/>
  <c r="AI174" i="83"/>
  <c r="AJ193" i="83"/>
  <c r="AI291" i="83"/>
  <c r="AI324" i="83"/>
  <c r="AJ387" i="83"/>
  <c r="AJ521" i="83"/>
  <c r="AI55" i="83"/>
  <c r="AJ99" i="83"/>
  <c r="AI133" i="83"/>
  <c r="AI196" i="83"/>
  <c r="AI213" i="83"/>
  <c r="AI276" i="83"/>
  <c r="AI348" i="83"/>
  <c r="AI484" i="83"/>
  <c r="AJ472" i="83"/>
  <c r="AJ69" i="83"/>
  <c r="AJ104" i="83"/>
  <c r="AI137" i="83"/>
  <c r="AI185" i="83"/>
  <c r="AI255" i="83"/>
  <c r="AJ292" i="83"/>
  <c r="AI352" i="83"/>
  <c r="AJ430" i="83"/>
  <c r="AJ480" i="83"/>
  <c r="AI192" i="83"/>
  <c r="AJ112" i="83"/>
  <c r="AI139" i="83"/>
  <c r="AI210" i="83"/>
  <c r="AI225" i="83"/>
  <c r="AJ276" i="83"/>
  <c r="AJ321" i="83"/>
  <c r="AI467" i="83"/>
  <c r="AI512" i="83"/>
  <c r="AJ44" i="83"/>
  <c r="AI76" i="83"/>
  <c r="AI145" i="83"/>
  <c r="AI162" i="83"/>
  <c r="AI280" i="83"/>
  <c r="AI387" i="83"/>
  <c r="AJ329" i="83"/>
  <c r="AI439" i="83"/>
  <c r="AI516" i="83"/>
  <c r="BO23" i="82"/>
  <c r="AJ57" i="83"/>
  <c r="AJ111" i="83"/>
  <c r="AI96" i="83"/>
  <c r="AJ129" i="83"/>
  <c r="AJ157" i="83"/>
  <c r="AJ216" i="83"/>
  <c r="AI300" i="83"/>
  <c r="AJ374" i="83"/>
  <c r="AI427" i="83"/>
  <c r="BH29" i="83"/>
  <c r="BE22" i="84"/>
  <c r="BM32" i="82"/>
  <c r="BO23" i="84"/>
  <c r="BE21" i="84"/>
  <c r="BE24" i="84"/>
  <c r="BI22" i="84"/>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W24" i="83" s="1"/>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BH17" i="83" s="1"/>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BE33" i="82" s="1"/>
  <c r="F15" i="82"/>
  <c r="K17" i="83" a="1"/>
  <c r="F15" i="83"/>
  <c r="Q15" i="83" s="1"/>
  <c r="BE19" i="84"/>
  <c r="BN22" i="83"/>
  <c r="BE20" i="84"/>
  <c r="BK18" i="84"/>
  <c r="BE18" i="84"/>
  <c r="AP17" i="84"/>
  <c r="AP15" i="84"/>
  <c r="BF12" i="83"/>
  <c r="BL14" i="83"/>
  <c r="BL12" i="83"/>
  <c r="BL13" i="83"/>
  <c r="AW22" i="83"/>
  <c r="AV22" i="83" s="1"/>
  <c r="BN21" i="84"/>
  <c r="BH21" i="84"/>
  <c r="BH20" i="84"/>
  <c r="BN20" i="84"/>
  <c r="BG22" i="84"/>
  <c r="BM22" i="84"/>
  <c r="BI20" i="84"/>
  <c r="BO20" i="84"/>
  <c r="BI19" i="84"/>
  <c r="BO19" i="84"/>
  <c r="BM12" i="84"/>
  <c r="BM14" i="84"/>
  <c r="BG12" i="84"/>
  <c r="BM13" i="84"/>
  <c r="BF18" i="84"/>
  <c r="BL18" i="84"/>
  <c r="BF20" i="84"/>
  <c r="BL20" i="84"/>
  <c r="BL21" i="84"/>
  <c r="BF21" i="84"/>
  <c r="BM19" i="84"/>
  <c r="BG19" i="84"/>
  <c r="BL19" i="84"/>
  <c r="BF19" i="84"/>
  <c r="J19" i="84"/>
  <c r="R15" i="84"/>
  <c r="R17" i="84"/>
  <c r="R23" i="84" s="1"/>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69" i="84"/>
  <c r="AI67" i="84"/>
  <c r="AI65" i="84"/>
  <c r="AI119" i="84"/>
  <c r="AI117"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W32" i="84"/>
  <c r="AI115" i="84"/>
  <c r="AJ17" i="84"/>
  <c r="AJ18" i="84" s="1"/>
  <c r="AJ19" i="84" s="1"/>
  <c r="AJ20" i="84" s="1"/>
  <c r="AJ21" i="84" s="1"/>
  <c r="AJ22" i="84" s="1"/>
  <c r="AJ23" i="84" s="1"/>
  <c r="AJ24" i="84" s="1"/>
  <c r="AJ25" i="84" s="1"/>
  <c r="AJ26" i="84" s="1"/>
  <c r="AJ27" i="84" s="1"/>
  <c r="AJ28" i="84" s="1"/>
  <c r="AJ29" i="84" s="1"/>
  <c r="AJ30" i="84" s="1"/>
  <c r="AJ31" i="84" s="1"/>
  <c r="AJ32" i="84" s="1"/>
  <c r="AJ33" i="84" s="1"/>
  <c r="AJ34" i="84" s="1"/>
  <c r="AJ35" i="84" s="1"/>
  <c r="AJ36" i="84" s="1"/>
  <c r="AJ37" i="84" s="1"/>
  <c r="AJ38" i="84" s="1"/>
  <c r="AJ39" i="84" s="1"/>
  <c r="AJ40" i="84" s="1"/>
  <c r="AJ41"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BH23" i="84"/>
  <c r="BN23" i="84"/>
  <c r="BG20" i="84"/>
  <c r="BM20" i="84"/>
  <c r="BG18" i="84"/>
  <c r="BM18" i="84"/>
  <c r="BN19" i="84"/>
  <c r="BH19" i="84"/>
  <c r="BK14" i="84"/>
  <c r="BB17" i="84"/>
  <c r="BK12" i="84"/>
  <c r="BK13" i="84"/>
  <c r="J20" i="83"/>
  <c r="BN20" i="83"/>
  <c r="BH20" i="83"/>
  <c r="BH27" i="83"/>
  <c r="BN27" i="83"/>
  <c r="BN25" i="83"/>
  <c r="BH25" i="83"/>
  <c r="BN26" i="83"/>
  <c r="BH26" i="83"/>
  <c r="BN23" i="83"/>
  <c r="BH23" i="83"/>
  <c r="AP15" i="83"/>
  <c r="BH19" i="83"/>
  <c r="BN19" i="83"/>
  <c r="BH24" i="83"/>
  <c r="BN24" i="83"/>
  <c r="BH21" i="83"/>
  <c r="BN21" i="83"/>
  <c r="Z15" i="83"/>
  <c r="BH28" i="83"/>
  <c r="BN28" i="83"/>
  <c r="BF20" i="82"/>
  <c r="BL20" i="82"/>
  <c r="AH15" i="82"/>
  <c r="BM22" i="82"/>
  <c r="BG22" i="82"/>
  <c r="BG29" i="82"/>
  <c r="BM29" i="82"/>
  <c r="BO18" i="82"/>
  <c r="BI18" i="82"/>
  <c r="BM19" i="82"/>
  <c r="BG19" i="82"/>
  <c r="BG26" i="82"/>
  <c r="BM26"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K17" i="84" l="1"/>
  <c r="BN13" i="83"/>
  <c r="BN12" i="83"/>
  <c r="BN14" i="83"/>
  <c r="BH12" i="83"/>
  <c r="BE33" i="83"/>
  <c r="BE40" i="83"/>
  <c r="BE35" i="83"/>
  <c r="BE38" i="83"/>
  <c r="BE37" i="83"/>
  <c r="BE36" i="83"/>
  <c r="BE34" i="83"/>
  <c r="BE39" i="83"/>
  <c r="BE41" i="83"/>
  <c r="BN17" i="83"/>
  <c r="BF23" i="84"/>
  <c r="BE18" i="83"/>
  <c r="BE32" i="83"/>
  <c r="BE24" i="82"/>
  <c r="BE31" i="82"/>
  <c r="BE32" i="82"/>
  <c r="BK19" i="83"/>
  <c r="BE30" i="83"/>
  <c r="BE31" i="83"/>
  <c r="BE18" i="82"/>
  <c r="BE20" i="83"/>
  <c r="AW17" i="83"/>
  <c r="BB17" i="83" s="1"/>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17" i="84"/>
  <c r="S18" i="84" s="1"/>
  <c r="S19" i="84" s="1"/>
  <c r="S20" i="84" s="1"/>
  <c r="S21" i="84" s="1"/>
  <c r="S22" i="84" s="1"/>
  <c r="S23" i="84" s="1"/>
  <c r="S115" i="84"/>
  <c r="S38" i="84"/>
  <c r="S35" i="84"/>
  <c r="T34" i="84"/>
  <c r="T25" i="84"/>
  <c r="S120" i="84"/>
  <c r="S118" i="84"/>
  <c r="T70" i="84"/>
  <c r="T68" i="84"/>
  <c r="T66" i="84"/>
  <c r="S34" i="84"/>
  <c r="T31" i="84"/>
  <c r="AW30" i="84"/>
  <c r="AW23" i="84" s="1"/>
  <c r="T28" i="84"/>
  <c r="S25" i="84"/>
  <c r="S116" i="84"/>
  <c r="S70" i="84"/>
  <c r="S68" i="84"/>
  <c r="S66" i="84"/>
  <c r="T37" i="84"/>
  <c r="S31" i="84"/>
  <c r="S28" i="84"/>
  <c r="T27"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18" i="84"/>
  <c r="T19" i="84" s="1"/>
  <c r="T20" i="84" s="1"/>
  <c r="T21" i="84" s="1"/>
  <c r="T22" i="84" s="1"/>
  <c r="T23" i="84" s="1"/>
  <c r="BL23" i="84" s="1"/>
  <c r="BH12" i="84"/>
  <c r="BN14" i="84"/>
  <c r="BN13" i="84"/>
  <c r="BN12" i="84"/>
  <c r="BK19" i="84"/>
  <c r="J20" i="84"/>
  <c r="Y15" i="84"/>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33"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B17" i="83"/>
  <c r="AB18" i="83" s="1"/>
  <c r="AB19" i="83" s="1"/>
  <c r="AB20" i="83" s="1"/>
  <c r="AB21" i="83" s="1"/>
  <c r="AB22" i="83" s="1"/>
  <c r="AB23" i="83" s="1"/>
  <c r="AB24" i="83" s="1"/>
  <c r="AB25" i="83" s="1"/>
  <c r="AB26" i="83" s="1"/>
  <c r="AB27" i="83" s="1"/>
  <c r="AB28" i="83" s="1"/>
  <c r="AB29" i="83" s="1"/>
  <c r="AB30" i="83" s="1"/>
  <c r="AB31" i="83" s="1"/>
  <c r="AB32" i="83" s="1"/>
  <c r="AB33"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147" i="83"/>
  <c r="AR129" i="83"/>
  <c r="AR105" i="83"/>
  <c r="AQ95" i="83"/>
  <c r="AR94" i="83"/>
  <c r="AQ87" i="83"/>
  <c r="AR86" i="83"/>
  <c r="AQ79" i="83"/>
  <c r="AR78" i="83"/>
  <c r="AQ69" i="83"/>
  <c r="AR67" i="83"/>
  <c r="AQ64" i="83"/>
  <c r="AR59" i="83"/>
  <c r="AQ56" i="83"/>
  <c r="AR39" i="83"/>
  <c r="AQ30" i="83"/>
  <c r="AR116" i="83"/>
  <c r="AR73" i="83"/>
  <c r="AR122" i="83"/>
  <c r="AR106" i="83"/>
  <c r="AQ94" i="83"/>
  <c r="AR93" i="83"/>
  <c r="AQ86" i="83"/>
  <c r="AR85" i="83"/>
  <c r="AQ78" i="83"/>
  <c r="AR77" i="83"/>
  <c r="AR71" i="83"/>
  <c r="AQ67" i="83"/>
  <c r="AR62" i="83"/>
  <c r="AQ59" i="83"/>
  <c r="AQ39" i="83"/>
  <c r="AR36" i="83"/>
  <c r="AR32" i="83"/>
  <c r="AR29" i="83"/>
  <c r="AR115" i="83"/>
  <c r="AR102" i="83"/>
  <c r="AR101" i="83"/>
  <c r="AR100" i="83"/>
  <c r="AQ93" i="83"/>
  <c r="AR92" i="83"/>
  <c r="AQ85" i="83"/>
  <c r="AR84" i="83"/>
  <c r="AQ77" i="83"/>
  <c r="AR76" i="83"/>
  <c r="AQ71" i="83"/>
  <c r="AR65" i="83"/>
  <c r="AQ62" i="83"/>
  <c r="AR57" i="83"/>
  <c r="AR38" i="83"/>
  <c r="AQ36" i="83"/>
  <c r="AR35" i="83"/>
  <c r="AQ32" i="83"/>
  <c r="AQ29" i="83"/>
  <c r="AQ90" i="83"/>
  <c r="AR89" i="83"/>
  <c r="AQ70" i="83"/>
  <c r="AQ100" i="83"/>
  <c r="AR99" i="83"/>
  <c r="AQ92" i="83"/>
  <c r="AR91" i="83"/>
  <c r="AQ84" i="83"/>
  <c r="AR83" i="83"/>
  <c r="AQ76" i="83"/>
  <c r="AR75" i="83"/>
  <c r="AR68" i="83"/>
  <c r="AQ65" i="83"/>
  <c r="AR60" i="83"/>
  <c r="AQ57" i="83"/>
  <c r="AQ38" i="83"/>
  <c r="AQ35" i="83"/>
  <c r="AR34" i="83"/>
  <c r="AR17" i="83"/>
  <c r="AR18" i="83" s="1"/>
  <c r="AR19" i="83" s="1"/>
  <c r="AR20" i="83" s="1"/>
  <c r="AR21" i="83" s="1"/>
  <c r="AR22" i="83" s="1"/>
  <c r="AR23" i="83" s="1"/>
  <c r="AR24" i="83" s="1"/>
  <c r="AR25" i="83" s="1"/>
  <c r="AR26" i="83" s="1"/>
  <c r="AR27" i="83" s="1"/>
  <c r="AR28" i="83" s="1"/>
  <c r="AQ74" i="83"/>
  <c r="AR37" i="83"/>
  <c r="AR123" i="83"/>
  <c r="AR113" i="83"/>
  <c r="AQ99" i="83"/>
  <c r="AR98" i="83"/>
  <c r="AQ91" i="83"/>
  <c r="AR90" i="83"/>
  <c r="AQ83" i="83"/>
  <c r="AR82" i="83"/>
  <c r="AQ75" i="83"/>
  <c r="AR74" i="83"/>
  <c r="AR70" i="83"/>
  <c r="AQ68" i="83"/>
  <c r="AR63" i="83"/>
  <c r="AQ60" i="83"/>
  <c r="AQ34" i="83"/>
  <c r="AW33" i="83"/>
  <c r="AR31"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17" i="82"/>
  <c r="AR18" i="82" s="1"/>
  <c r="AR19" i="82" s="1"/>
  <c r="AR20" i="82" s="1"/>
  <c r="AR21" i="82" s="1"/>
  <c r="AR22" i="82" s="1"/>
  <c r="AR23" i="82" s="1"/>
  <c r="AR24" i="82" s="1"/>
  <c r="AR25" i="82" s="1"/>
  <c r="AR26" i="82" s="1"/>
  <c r="AR27" i="82" s="1"/>
  <c r="AR28" i="82" s="1"/>
  <c r="AQ88" i="82"/>
  <c r="AR75" i="82"/>
  <c r="AR73" i="82"/>
  <c r="AR71" i="82"/>
  <c r="AR69" i="82"/>
  <c r="AQ34" i="82"/>
  <c r="AW33" i="82"/>
  <c r="AR31" i="82"/>
  <c r="AQ87" i="82"/>
  <c r="AQ81" i="82"/>
  <c r="AQ77" i="82"/>
  <c r="AQ75" i="82"/>
  <c r="AQ73" i="82"/>
  <c r="AQ71" i="82"/>
  <c r="AQ69" i="82"/>
  <c r="AR37" i="82"/>
  <c r="AQ31"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Q92" i="82"/>
  <c r="AQ84" i="82"/>
  <c r="AR76" i="82"/>
  <c r="AR74" i="82"/>
  <c r="AR72" i="82"/>
  <c r="AR70" i="82"/>
  <c r="AR68" i="82"/>
  <c r="AR39" i="82"/>
  <c r="AQ30"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105" i="82"/>
  <c r="AJ100" i="82"/>
  <c r="AI108" i="82"/>
  <c r="AJ101" i="82"/>
  <c r="AI100" i="82"/>
  <c r="AI101" i="82"/>
  <c r="AI117" i="82"/>
  <c r="AI114" i="82"/>
  <c r="AJ106" i="82"/>
  <c r="AJ97" i="82"/>
  <c r="AW32" i="82"/>
  <c r="AI109" i="82"/>
  <c r="AI95" i="82"/>
  <c r="AJ17" i="82"/>
  <c r="AJ18" i="82" s="1"/>
  <c r="AJ19" i="82" s="1"/>
  <c r="AJ20" i="82" s="1"/>
  <c r="AJ21" i="82" s="1"/>
  <c r="AJ22" i="82" s="1"/>
  <c r="AJ23" i="82" s="1"/>
  <c r="AJ24" i="82" s="1"/>
  <c r="AJ25" i="82" s="1"/>
  <c r="AJ26" i="82" s="1"/>
  <c r="AJ27" i="82" s="1"/>
  <c r="AJ28" i="82" s="1"/>
  <c r="AJ29" i="82" s="1"/>
  <c r="AJ30" i="82" s="1"/>
  <c r="AJ31" i="82" s="1"/>
  <c r="AJ32" i="82" s="1"/>
  <c r="AJ33" i="82" s="1"/>
  <c r="AJ34" i="82" s="1"/>
  <c r="AJ35" i="82" s="1"/>
  <c r="AJ36" i="82" s="1"/>
  <c r="AJ37" i="82" s="1"/>
  <c r="AJ38" i="82" s="1"/>
  <c r="AJ39" i="82" s="1"/>
  <c r="AJ40" i="82" s="1"/>
  <c r="AJ41"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BK14" i="83" l="1"/>
  <c r="BK12" i="83"/>
  <c r="BK13" i="83"/>
  <c r="AG15" i="83"/>
  <c r="AO15"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AI33" i="82" s="1"/>
  <c r="AI34" i="82" s="1"/>
  <c r="AI35" i="82" s="1"/>
  <c r="AI36" i="82" s="1"/>
  <c r="AI37" i="82" s="1"/>
  <c r="AI38" i="82" s="1"/>
  <c r="AI39" i="82" s="1"/>
  <c r="AI40" i="82" s="1"/>
  <c r="AI41"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AA33" i="84" s="1"/>
  <c r="BO13" i="84"/>
  <c r="BO14" i="84"/>
  <c r="AW25" i="84"/>
  <c r="BO12" i="84"/>
  <c r="BI12" i="84"/>
  <c r="BF17" i="83"/>
  <c r="BL17" i="83"/>
  <c r="R18" i="83"/>
  <c r="AQ17" i="83"/>
  <c r="AQ18" i="83" s="1"/>
  <c r="AQ19" i="83" s="1"/>
  <c r="AQ20" i="83" s="1"/>
  <c r="AQ21" i="83" s="1"/>
  <c r="AQ22" i="83" s="1"/>
  <c r="AQ23" i="83" s="1"/>
  <c r="AQ24" i="83" s="1"/>
  <c r="AQ25" i="83" s="1"/>
  <c r="AQ26" i="83" s="1"/>
  <c r="AQ27" i="83" s="1"/>
  <c r="AQ28" i="83" s="1"/>
  <c r="AO15" i="82"/>
  <c r="AQ17" i="82"/>
  <c r="AQ18" i="82" s="1"/>
  <c r="AQ19" i="82" s="1"/>
  <c r="AQ20" i="82" s="1"/>
  <c r="AQ21" i="82" s="1"/>
  <c r="AQ22" i="82" s="1"/>
  <c r="AQ23" i="82" s="1"/>
  <c r="AQ24" i="82" s="1"/>
  <c r="AQ25" i="82" s="1"/>
  <c r="AQ26" i="82" s="1"/>
  <c r="AQ27" i="82" s="1"/>
  <c r="AQ28"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AP20" i="82" l="1"/>
  <c r="AP25" i="82" s="1"/>
  <c r="AP26" i="82" s="1"/>
  <c r="Z23" i="84"/>
  <c r="Z24" i="84"/>
  <c r="AP17" i="83"/>
  <c r="BI17" i="83" s="1"/>
  <c r="Z18" i="83"/>
  <c r="Z19" i="83" s="1"/>
  <c r="BG19" i="83" s="1"/>
  <c r="BG25" i="84"/>
  <c r="BM25"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AI33" i="84" s="1"/>
  <c r="AI34" i="84" s="1"/>
  <c r="AI35" i="84" s="1"/>
  <c r="AI36" i="84" s="1"/>
  <c r="AI37" i="84" s="1"/>
  <c r="AI38" i="84" s="1"/>
  <c r="AI39" i="84" s="1"/>
  <c r="AI40" i="84" s="1"/>
  <c r="AI41" i="84" s="1"/>
  <c r="BG17" i="84"/>
  <c r="BM17" i="84"/>
  <c r="BQ17" i="84" a="1"/>
  <c r="BQ17" i="84" s="1"/>
  <c r="AO15" i="84"/>
  <c r="AH17" i="84"/>
  <c r="BK22" i="83"/>
  <c r="J23" i="83"/>
  <c r="BQ17" i="83" a="1"/>
  <c r="BQ17" i="83" s="1"/>
  <c r="BL18" i="83"/>
  <c r="BF18" i="83"/>
  <c r="R19" i="83"/>
  <c r="AH19" i="82"/>
  <c r="BN18" i="82"/>
  <c r="BH18"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BO20" i="82" l="1"/>
  <c r="BI20" i="82"/>
  <c r="BO26" i="82"/>
  <c r="BI26" i="82"/>
  <c r="BI25" i="82"/>
  <c r="BO25" i="82"/>
  <c r="Z26" i="84"/>
  <c r="BG26" i="84" s="1"/>
  <c r="BG23" i="84"/>
  <c r="BM23" i="84"/>
  <c r="BM24" i="84"/>
  <c r="BG24" i="84"/>
  <c r="Z27" i="84"/>
  <c r="Z29" i="84" s="1"/>
  <c r="AP18" i="83"/>
  <c r="BO17" i="83"/>
  <c r="BG18" i="83"/>
  <c r="BM19" i="83"/>
  <c r="BM18" i="83"/>
  <c r="Z20" i="83"/>
  <c r="Z21" i="83" s="1"/>
  <c r="Z22" i="83" s="1"/>
  <c r="BM22" i="83" s="1"/>
  <c r="BK22" i="84"/>
  <c r="J23" i="84"/>
  <c r="BP17" i="84" a="1"/>
  <c r="BP17" i="84" s="1"/>
  <c r="BP17" i="83" a="1"/>
  <c r="BP17" i="83" s="1"/>
  <c r="AH24" i="84"/>
  <c r="AH25" i="84" s="1"/>
  <c r="BP17" i="82" a="1"/>
  <c r="BP17" i="82" s="1"/>
  <c r="BH17" i="84"/>
  <c r="BN17" i="84"/>
  <c r="Z30" i="84"/>
  <c r="J24" i="83"/>
  <c r="BK23" i="83"/>
  <c r="BF19" i="83"/>
  <c r="BL19" i="83"/>
  <c r="R20" i="83"/>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I18" i="83" l="1"/>
  <c r="BM26" i="84"/>
  <c r="Z28" i="84"/>
  <c r="BG28" i="84" s="1"/>
  <c r="BG29" i="84"/>
  <c r="BM29" i="84"/>
  <c r="BG27" i="84"/>
  <c r="BM27" i="84"/>
  <c r="AH26" i="84"/>
  <c r="AH27" i="84" s="1"/>
  <c r="BO18" i="83"/>
  <c r="AP19" i="83"/>
  <c r="BI19" i="83" s="1"/>
  <c r="BG22" i="83"/>
  <c r="BG20" i="83"/>
  <c r="BM20" i="83"/>
  <c r="BG21" i="83"/>
  <c r="Z23" i="83"/>
  <c r="Z24" i="83" s="1"/>
  <c r="BK23" i="84"/>
  <c r="J24" i="84"/>
  <c r="BM21" i="83"/>
  <c r="BN25" i="84"/>
  <c r="BH25" i="84"/>
  <c r="BN24" i="84"/>
  <c r="BH24" i="84"/>
  <c r="R21" i="83"/>
  <c r="R22" i="83" s="1"/>
  <c r="BG30" i="84"/>
  <c r="BM30" i="84"/>
  <c r="J25" i="83"/>
  <c r="BK24"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K24" i="84" l="1"/>
  <c r="J25" i="84"/>
  <c r="Z31" i="84"/>
  <c r="BM31" i="84" s="1"/>
  <c r="BM28" i="84"/>
  <c r="BH26" i="84"/>
  <c r="BN26" i="84"/>
  <c r="AP20" i="83"/>
  <c r="BO19" i="83"/>
  <c r="BM23" i="83"/>
  <c r="BG23" i="83"/>
  <c r="BM24" i="83"/>
  <c r="BG24" i="83"/>
  <c r="Z25" i="83"/>
  <c r="Z26" i="83" s="1"/>
  <c r="BG26" i="83" s="1"/>
  <c r="BF21" i="83"/>
  <c r="BH27" i="84"/>
  <c r="BN27" i="84"/>
  <c r="AH28" i="84"/>
  <c r="AH29" i="84" s="1"/>
  <c r="AH30" i="84" s="1"/>
  <c r="BF22" i="83"/>
  <c r="BL22" i="83"/>
  <c r="BL21" i="83"/>
  <c r="J26" i="83"/>
  <c r="BK25" i="83"/>
  <c r="BK24" i="82"/>
  <c r="J25" i="82"/>
  <c r="BN21" i="82"/>
  <c r="BH21" i="82"/>
  <c r="AH22" i="82"/>
  <c r="Z32" i="84" l="1"/>
  <c r="BG31" i="84"/>
  <c r="AP21" i="83"/>
  <c r="BI21" i="83" s="1"/>
  <c r="J26" i="84"/>
  <c r="BK25" i="84"/>
  <c r="AH23" i="82"/>
  <c r="BH23" i="82" s="1"/>
  <c r="BO21" i="83"/>
  <c r="BI20" i="83"/>
  <c r="BO20" i="83"/>
  <c r="BN30" i="84"/>
  <c r="BH30" i="84"/>
  <c r="AH31" i="84"/>
  <c r="BM26" i="83"/>
  <c r="Z27" i="83"/>
  <c r="Z28" i="83" s="1"/>
  <c r="BG28" i="83" s="1"/>
  <c r="BM25" i="83"/>
  <c r="BG25" i="83"/>
  <c r="BH29" i="84"/>
  <c r="BN29" i="84"/>
  <c r="BH28" i="84"/>
  <c r="BN28" i="84"/>
  <c r="AH24" i="82"/>
  <c r="BH24" i="82" s="1"/>
  <c r="BK26" i="83"/>
  <c r="J27" i="83"/>
  <c r="J26" i="82"/>
  <c r="BK25" i="82"/>
  <c r="BN22" i="82"/>
  <c r="BH22" i="82"/>
  <c r="AP22" i="83" l="1"/>
  <c r="AP23" i="83" s="1"/>
  <c r="AP24" i="83" s="1"/>
  <c r="BO24" i="83" s="1"/>
  <c r="BG32" i="84"/>
  <c r="BM32" i="84"/>
  <c r="J27" i="84"/>
  <c r="BK26" i="84"/>
  <c r="BN23" i="82"/>
  <c r="AH33" i="84"/>
  <c r="BN33" i="84" s="1"/>
  <c r="AH32" i="84"/>
  <c r="BN31" i="84"/>
  <c r="BH31" i="84"/>
  <c r="BM28" i="83"/>
  <c r="Z29" i="83"/>
  <c r="BM29" i="83" s="1"/>
  <c r="BG27" i="83"/>
  <c r="BN24" i="82"/>
  <c r="BM27" i="83"/>
  <c r="AH25" i="82"/>
  <c r="J28" i="83"/>
  <c r="BK27" i="83"/>
  <c r="BK26" i="82"/>
  <c r="J27" i="82"/>
  <c r="BO23" i="83" l="1"/>
  <c r="BI23" i="83"/>
  <c r="BO22" i="83"/>
  <c r="BI22" i="83"/>
  <c r="BI24" i="83"/>
  <c r="AP27" i="83"/>
  <c r="BO27" i="83" s="1"/>
  <c r="J28" i="84"/>
  <c r="BK28" i="84" s="1"/>
  <c r="BK27" i="84"/>
  <c r="BH32" i="84"/>
  <c r="BN32" i="84"/>
  <c r="BH33" i="84"/>
  <c r="Z30" i="83"/>
  <c r="BG30" i="83" s="1"/>
  <c r="BG29" i="83"/>
  <c r="BN25" i="82"/>
  <c r="BH25" i="82"/>
  <c r="AH26" i="82"/>
  <c r="AH27" i="82" s="1"/>
  <c r="J29" i="83"/>
  <c r="BK28" i="83"/>
  <c r="J28" i="82"/>
  <c r="BK27" i="82"/>
  <c r="AP28" i="83" l="1"/>
  <c r="BI28" i="83" s="1"/>
  <c r="BI27" i="83"/>
  <c r="BO28" i="83"/>
  <c r="AH29" i="82"/>
  <c r="BH29" i="82" s="1"/>
  <c r="AH28" i="82"/>
  <c r="BM30" i="83"/>
  <c r="Z31" i="83"/>
  <c r="BH27" i="82"/>
  <c r="BK29" i="83"/>
  <c r="J30" i="83"/>
  <c r="BN27" i="82"/>
  <c r="BN26" i="82"/>
  <c r="BH26" i="82"/>
  <c r="BK28" i="82"/>
  <c r="J29" i="82"/>
  <c r="AH30" i="82" l="1"/>
  <c r="AH31" i="82" s="1"/>
  <c r="BN29" i="82"/>
  <c r="BN28" i="82"/>
  <c r="BH28" i="82"/>
  <c r="BM31" i="83"/>
  <c r="BG31" i="83"/>
  <c r="BK30" i="83"/>
  <c r="J31" i="83"/>
  <c r="J30" i="82"/>
  <c r="BK29" i="82"/>
  <c r="BH30" i="82" l="1"/>
  <c r="BN30" i="82"/>
  <c r="BH31" i="82"/>
  <c r="BN31" i="82"/>
  <c r="AH32" i="82"/>
  <c r="BK30" i="82"/>
  <c r="J31" i="82"/>
  <c r="BK31" i="83"/>
  <c r="J32" i="83"/>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AH33" i="82" l="1"/>
  <c r="BH32" i="82"/>
  <c r="BN32" i="82"/>
  <c r="BK32" i="83"/>
  <c r="J33" i="83"/>
  <c r="J32" i="82"/>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BN33" i="82" l="1"/>
  <c r="AH34" i="82"/>
  <c r="BH33" i="82"/>
  <c r="BK33" i="83"/>
  <c r="J34" i="83"/>
  <c r="BK32" i="82"/>
  <c r="J33" i="82"/>
  <c r="BK33" i="82" s="1"/>
  <c r="K17" i="79"/>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AH35" i="82" l="1"/>
  <c r="AH36" i="82" s="1"/>
  <c r="BN34" i="82"/>
  <c r="BH34" i="82"/>
  <c r="J35" i="83"/>
  <c r="BK34" i="83"/>
  <c r="BK17" i="79"/>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BH36" i="82" l="1"/>
  <c r="BN36" i="82"/>
  <c r="AH37" i="82"/>
  <c r="BH35" i="82"/>
  <c r="BN35" i="82"/>
  <c r="BK35" i="83"/>
  <c r="J36" i="83"/>
  <c r="AH40" i="82"/>
  <c r="AW26" i="79"/>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AH38" i="82" l="1"/>
  <c r="AH39" i="82" s="1"/>
  <c r="BH37" i="82"/>
  <c r="BN37" i="82"/>
  <c r="BN40" i="82"/>
  <c r="BH40" i="82"/>
  <c r="AH41" i="82"/>
  <c r="BK36" i="83"/>
  <c r="J37" i="83"/>
  <c r="BQ17" i="79"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H38" i="82" l="1"/>
  <c r="BN38" i="82"/>
  <c r="BN39" i="82"/>
  <c r="BH39" i="82"/>
  <c r="J38" i="83"/>
  <c r="BK37" i="83"/>
  <c r="BN41" i="82"/>
  <c r="BH41" i="82"/>
  <c r="BP17" i="79"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K38" i="83" l="1"/>
  <c r="J39" i="83"/>
  <c r="BR18" i="79"/>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K39" i="83" l="1"/>
  <c r="J40" i="83"/>
  <c r="BO18" i="79"/>
  <c r="BI18" i="79"/>
  <c r="AP19" i="79"/>
  <c r="AP20" i="79" s="1"/>
  <c r="BK25" i="79"/>
  <c r="J26" i="79"/>
  <c r="Z21" i="79"/>
  <c r="BG20" i="79"/>
  <c r="BM20" i="79"/>
  <c r="BK40" i="83" l="1"/>
  <c r="J41" i="83"/>
  <c r="BK41" i="83" s="1"/>
  <c r="BI20" i="79"/>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<sst xmlns="http://schemas.openxmlformats.org/spreadsheetml/2006/main" count="1879" uniqueCount="526">
  <si>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</si>
  <si>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</si>
  <si>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</si>
  <si>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</si>
  <si>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</si>
  <si>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</si>
  <si>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</si>
  <si>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</si>
  <si>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</si>
  <si>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</si>
  <si>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</si>
  <si>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</si>
  <si>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</si>
  <si>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</si>
  <si>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</si>
  <si>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</si>
  <si>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</si>
  <si>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</si>
  <si>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</si>
  <si>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</si>
  <si>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</si>
  <si>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</si>
  <si>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</si>
  <si>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</si>
  <si>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</si>
  <si>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</si>
  <si>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</si>
  <si>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</si>
  <si>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</si>
  <si>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</si>
  <si>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</si>
  <si>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</si>
  <si>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</si>
  <si>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</si>
  <si>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</si>
  <si>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</si>
  <si>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</si>
  <si>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</si>
  <si>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</si>
  <si>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</si>
  <si>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</si>
  <si>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</si>
  <si>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</si>
  <si>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</si>
  <si>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</si>
  <si>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</si>
  <si>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</si>
  <si>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</si>
  <si>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</si>
  <si>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</si>
  <si>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</si>
  <si>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</si>
  <si>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</si>
  <si>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</si>
  <si>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</si>
  <si>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</si>
  <si>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</si>
  <si>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</si>
  <si>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</si>
  <si>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</si>
  <si>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</si>
  <si>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</si>
  <si>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</si>
  <si>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</si>
  <si>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</si>
  <si>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</si>
  <si>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</si>
  <si>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</si>
  <si>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</si>
  <si>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</si>
  <si>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</si>
  <si>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</si>
  <si>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</si>
  <si>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</si>
  <si>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</si>
  <si>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</si>
  <si>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</si>
  <si>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</si>
  <si>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</si>
  <si>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</si>
  <si>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</si>
  <si>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</si>
  <si>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</si>
  <si>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</si>
  <si>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</si>
  <si>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</si>
  <si>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</si>
  <si>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</si>
  <si>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</si>
  <si>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</si>
  <si>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</si>
  <si>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</si>
  <si>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</si>
  <si>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</si>
  <si>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</si>
  <si>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</si>
  <si>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</si>
  <si>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</si>
  <si>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</si>
  <si>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</si>
  <si>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</si>
  <si>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</si>
  <si>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</si>
  <si>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</si>
  <si>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</si>
  <si>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</si>
  <si>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</si>
  <si>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</si>
  <si>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</si>
  <si>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</si>
  <si>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</si>
  <si>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</si>
  <si>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</si>
  <si>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</si>
  <si>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</si>
  <si>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</si>
  <si>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</si>
  <si>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</si>
  <si>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</si>
  <si>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</si>
  <si>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</si>
  <si>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</si>
  <si>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</si>
  <si>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</si>
  <si>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</si>
  <si>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</si>
  <si>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</si>
  <si>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</si>
  <si>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</si>
  <si>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</si>
  <si>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OTAアクティベート状態
によるSiP電源OFF通知</t>
  </si>
  <si>
    <t>2025/04/25 
PreCV向け？</t>
  </si>
  <si>
    <t>24H/12H切替
※不揮発性メモリ保持必要</t>
  </si>
  <si>
    <t>2025/04/25
PreCV向け</t>
  </si>
  <si>
    <t>カレンダ(年月日)
※不揮発性メモリ保持必要</t>
  </si>
  <si>
    <t>デフォルト年月日</t>
  </si>
  <si>
    <t>下限年</t>
  </si>
  <si>
    <t>SPI通信監視</t>
  </si>
  <si>
    <t>途絶結果</t>
  </si>
  <si>
    <t>2025/06/06
PreCV向け</t>
  </si>
  <si>
    <t>映像/カメラ制御</t>
  </si>
  <si>
    <t>2025/06/13 
PreCV向け</t>
  </si>
  <si>
    <t>CAN制御</t>
  </si>
  <si>
    <t>2025/05/21
2025/05/29 
データの持たせ方を変更</t>
  </si>
  <si>
    <t>2025/06/27 
PreCV向け</t>
  </si>
  <si>
    <t>SW操作信号</t>
  </si>
  <si>
    <t>地点登録/削除画面　操作情報</t>
  </si>
  <si>
    <t>VM1TO2_FLYNOP</t>
  </si>
  <si>
    <t>2025/06/27 
シス検#2向け
※車高制御SW機能でシス検#2のクライテリア機能のためシス検#2に織り込みたい。</t>
  </si>
  <si>
    <t>完全初期化要求</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</si>
  <si>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</si>
  <si>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</si>
  <si>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</si>
  <si>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</si>
  <si>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</si>
  <si>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</si>
  <si>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</si>
  <si>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</si>
  <si>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</si>
  <si>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</si>
  <si>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</si>
  <si>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</si>
  <si>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</si>
  <si>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</si>
  <si>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</si>
  <si>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</si>
  <si>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</si>
  <si>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</si>
  <si>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</si>
  <si>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</si>
  <si>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</si>
  <si>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</si>
  <si>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</si>
  <si>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</si>
  <si>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</si>
  <si>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</si>
  <si>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</si>
  <si>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</si>
  <si>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</si>
  <si>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</si>
  <si>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</si>
  <si>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</si>
  <si>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</si>
  <si>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</si>
  <si>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</si>
  <si>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</si>
  <si>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</si>
  <si>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</si>
  <si>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</si>
  <si>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</si>
  <si>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</si>
  <si>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</si>
  <si>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</si>
  <si>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</si>
  <si>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</si>
  <si>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</si>
  <si>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</si>
  <si>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</si>
  <si>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</si>
  <si>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</si>
  <si>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</si>
  <si>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</si>
  <si>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</si>
  <si>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</si>
  <si>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</si>
  <si>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</si>
  <si>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</si>
  <si>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</si>
  <si>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</si>
  <si>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</si>
  <si>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</si>
  <si>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</si>
  <si>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</si>
  <si>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</si>
  <si>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</si>
  <si>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</si>
  <si>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</si>
  <si>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</si>
  <si>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</si>
  <si>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</si>
  <si>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</si>
  <si>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</si>
  <si>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</si>
  <si>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</si>
  <si>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</si>
  <si>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</si>
  <si>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</si>
  <si>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</si>
  <si>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</si>
  <si>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</si>
  <si>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</si>
  <si>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</si>
  <si>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</si>
  <si>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</si>
  <si>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</si>
  <si>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</si>
  <si>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</si>
  <si>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</si>
  <si>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</si>
  <si>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</si>
  <si>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</si>
  <si>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</si>
  <si>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</si>
  <si>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</si>
  <si>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</si>
  <si>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</si>
  <si>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</si>
  <si>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</si>
  <si>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</si>
  <si>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</si>
  <si>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</si>
  <si>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</si>
  <si>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</si>
  <si>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</si>
  <si>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</si>
  <si>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</si>
  <si>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</si>
  <si>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</si>
  <si>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</si>
  <si>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</si>
  <si>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</si>
  <si>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</si>
  <si>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</si>
  <si>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</si>
  <si>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</si>
  <si>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</si>
  <si>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</si>
  <si>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</si>
  <si>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</si>
  <si>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</si>
  <si>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</si>
  <si>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</si>
  <si>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</si>
  <si>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</si>
  <si>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</si>
  <si>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</si>
  <si>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</si>
  <si>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</si>
  <si>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</si>
  <si>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</si>
  <si>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</si>
  <si>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</si>
  <si>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</si>
  <si>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</si>
  <si>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</si>
  <si>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</si>
  <si>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</si>
  <si>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</si>
  <si>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</si>
  <si>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</si>
  <si>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</si>
  <si>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</si>
  <si>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</si>
  <si>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</si>
  <si>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</si>
  <si>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</si>
  <si>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</si>
  <si>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</si>
  <si>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</si>
  <si>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</si>
  <si>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</si>
  <si>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</si>
  <si>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</si>
  <si>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</si>
  <si>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</si>
  <si>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</si>
  <si>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</si>
  <si>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</si>
  <si>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</si>
  <si>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</si>
  <si>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</si>
  <si>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</si>
  <si>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</si>
  <si>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</si>
  <si>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</si>
  <si>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</si>
  <si>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</si>
  <si>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</si>
  <si>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</si>
  <si>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</si>
  <si>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</si>
  <si>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</si>
  <si>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</si>
  <si>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</si>
  <si>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</si>
  <si>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</si>
  <si>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</si>
  <si>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</si>
  <si>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</si>
  <si>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</si>
  <si>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</si>
  <si>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</si>
  <si>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</si>
  <si>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</si>
  <si>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</si>
  <si>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</si>
  <si>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</si>
  <si>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</si>
  <si>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</si>
  <si>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</si>
  <si>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</si>
  <si>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</si>
  <si>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</si>
  <si>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</si>
  <si>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</si>
  <si>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</si>
  <si>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</si>
  <si>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</si>
  <si>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</si>
  <si>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</si>
  <si>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</si>
  <si>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</si>
  <si>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</si>
  <si>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</si>
  <si>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</si>
  <si>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</si>
  <si>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</si>
  <si>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</si>
  <si>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</si>
  <si>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</si>
  <si>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</si>
  <si>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</si>
  <si>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</si>
  <si>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</si>
  <si>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</si>
  <si>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</si>
  <si>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</si>
  <si>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</si>
  <si>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</si>
  <si>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</si>
  <si>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</si>
  <si>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</si>
  <si>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</si>
  <si>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</si>
  <si>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</si>
  <si>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</si>
  <si>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</si>
  <si>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</si>
  <si>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</si>
  <si>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</si>
  <si>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</si>
  <si>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</si>
  <si>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</si>
  <si>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</si>
  <si>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</si>
  <si>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</si>
  <si>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</si>
  <si>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</si>
  <si>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</si>
  <si>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</si>
  <si>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</si>
  <si>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</si>
  <si>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</si>
  <si>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</si>
  <si>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</si>
  <si>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</si>
  <si>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</si>
  <si>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</si>
  <si>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</si>
  <si>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</si>
  <si>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</si>
  <si>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</si>
  <si>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</si>
  <si>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</si>
  <si>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</si>
  <si>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</si>
  <si>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</si>
  <si>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</si>
  <si>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</si>
  <si>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</si>
  <si>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</si>
  <si>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</si>
  <si>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</si>
  <si>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</si>
  <si>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</si>
  <si>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</si>
  <si>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</si>
  <si>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</si>
  <si>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</si>
  <si>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</si>
  <si>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</si>
  <si>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</si>
  <si>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</si>
  <si>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</si>
  <si>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</si>
  <si>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</si>
  <si>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</si>
  <si>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</si>
  <si>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</si>
  <si>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</si>
  <si>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</si>
  <si>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</si>
  <si>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</si>
  <si>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</si>
  <si>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</si>
  <si>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</si>
  <si>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</si>
  <si>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</si>
  <si>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</si>
  <si>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</si>
  <si>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</si>
  <si>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</si>
  <si>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</si>
  <si>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</si>
  <si>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1Byte目：カメラシステム種別設定
2Byte目：表示用映像サイズ(CenterDisp)</t>
  </si>
  <si>
    <t>VM2TO1_CAM_DIAP</t>
  </si>
  <si>
    <t>VM1TO2_CAM_DIAP</t>
  </si>
  <si>
    <t>VM3TO2_BOOTLOG_INF</t>
  </si>
  <si>
    <t>起動ログ計測点検知データ</t>
  </si>
  <si>
    <t>SWIC制御</t>
  </si>
  <si>
    <t>電源VREG_SPX8供給情報
（MCU PMICレジスタ0x19 DIN2_STATビット）</t>
  </si>
  <si>
    <t>DMS1S02フレーム</t>
  </si>
  <si>
    <t>VM2TO1_DMS1S02</t>
  </si>
  <si>
    <t>MET1S27フレーム</t>
  </si>
  <si>
    <t>VM2TO1_MET1S27</t>
  </si>
  <si>
    <t>MET1S28フレーム</t>
  </si>
  <si>
    <t>VM2TO1_MET1S28</t>
  </si>
  <si>
    <t>MET1S29フレーム</t>
  </si>
  <si>
    <t>VM2TO1_MET1S29</t>
  </si>
  <si>
    <t>MET1S30フレーム</t>
  </si>
  <si>
    <t>VM2TO1_MET1S30</t>
  </si>
  <si>
    <t>MET1S43フレーム</t>
  </si>
  <si>
    <t>VM2TO1_MET1S43</t>
  </si>
  <si>
    <t>MET1S62フレーム</t>
  </si>
  <si>
    <t>VM2TO1_MET1S62</t>
  </si>
  <si>
    <t>MET1S70フレーム</t>
  </si>
  <si>
    <t>VM2TO1_MET1S70</t>
  </si>
  <si>
    <t>VM1TO3_STBY</t>
  </si>
  <si>
    <t>VM2TO3_STBY</t>
  </si>
  <si>
    <t>VM1TO2_TIMOFST</t>
  </si>
  <si>
    <t>VM3TO2_SIPERR_INF</t>
  </si>
  <si>
    <t>VM2TO1_TIMOFST</t>
  </si>
  <si>
    <t>VM1TO2_TIMFMT</t>
  </si>
  <si>
    <t>VM2TO1_TIMFMT</t>
  </si>
  <si>
    <t>VM2TO1_DSPTIM</t>
  </si>
  <si>
    <t>VM2TO1_DSPCAL</t>
  </si>
  <si>
    <t>VM1TO2_CAL</t>
  </si>
  <si>
    <t>VM2TO1_CAL</t>
  </si>
  <si>
    <t>VM1TO2_CALDEF</t>
  </si>
  <si>
    <t>VM1TO2_CALMIN</t>
  </si>
  <si>
    <t>VM1TO3_SPI_FAIL</t>
  </si>
  <si>
    <t>CANBUS_STS_2M1</t>
  </si>
  <si>
    <t>CANBUS_STS_5M</t>
  </si>
  <si>
    <t>CANBUS_STS_2M2</t>
  </si>
  <si>
    <t>CANBUS_STS_LCAN</t>
  </si>
  <si>
    <t>VM1TO23_FSLP</t>
  </si>
  <si>
    <t>VM2TO3_STRMODE</t>
  </si>
  <si>
    <t>VM2TO3_OPESTS</t>
  </si>
  <si>
    <t>VM3TO2_BOOT_CNT</t>
  </si>
  <si>
    <t>VM2TO3_DIN2_STAT</t>
  </si>
  <si>
    <t>VM3TO2_OTA_OFFSTS</t>
  </si>
  <si>
    <t>VM3TO12_RESTART</t>
  </si>
  <si>
    <t>VM3TO2_BOOT_TIME</t>
  </si>
  <si>
    <t>表示時刻情報</t>
  </si>
  <si>
    <t>表示日付情報</t>
  </si>
  <si>
    <t>CAN通信異常ステータス(G2M-1用)</t>
  </si>
  <si>
    <t>CAN通信異常ステータス(G5M用)</t>
  </si>
  <si>
    <t>CAN通信異常ステータス(G2M-2用)</t>
  </si>
  <si>
    <t>CAN通信異常ステータス(LCAN用)</t>
  </si>
  <si>
    <t>起動ログ</t>
  </si>
  <si>
    <t>MET1D51フレーム（ドライブレコーダー用送信データ）</t>
  </si>
  <si>
    <t>VM1TO2_MET1D51</t>
  </si>
  <si>
    <t>リプログ用要求データアドレス</t>
  </si>
  <si>
    <t>FWUPXREQ_H</t>
  </si>
  <si>
    <t>FWUPXREQ_D</t>
  </si>
  <si>
    <t>FWUPXRES</t>
  </si>
  <si>
    <t>開発リプロ</t>
    <rPh sb="0" eb="2">
      <t>カイハツ</t>
    </rPh>
    <phoneticPr fontId="18"/>
  </si>
  <si>
    <t>リプログ用要求ヘッダ</t>
    <rPh sb="4" eb="5">
      <t>ヨウ</t>
    </rPh>
    <rPh sb="5" eb="7">
      <t>ヨウキュウ</t>
    </rPh>
    <phoneticPr fontId="18"/>
  </si>
  <si>
    <t>リプログ用応答</t>
    <rPh sb="4" eb="5">
      <t>ヨウ</t>
    </rPh>
    <rPh sb="5" eb="7">
      <t>オウトウ</t>
    </rPh>
    <phoneticPr fontId="18"/>
  </si>
  <si>
    <t>VM3to2通知
・VM3完全初期化応答
・VM2初期化開始通知</t>
  </si>
  <si>
    <t>VM3TO2_WHLINI_INF</t>
  </si>
  <si>
    <t>VM1初期化開始通知</t>
  </si>
  <si>
    <t>VM3TO1_WHLINI_STA</t>
  </si>
  <si>
    <t>SoC起動状態</t>
  </si>
  <si>
    <t>VM3TO1_SOC_POW_STS</t>
  </si>
  <si>
    <t>NMダイアグリセット</t>
  </si>
  <si>
    <t>VM1TO3_NMDIAG</t>
  </si>
  <si>
    <t>SoC起動条件通知</t>
  </si>
  <si>
    <t>VM3TO2_WKUP_COND</t>
  </si>
  <si>
    <t>ユーザリセット抑止期間通知</t>
  </si>
  <si>
    <t>VM3TO2_USRRST_MASK</t>
  </si>
  <si>
    <t>Eth制御</t>
  </si>
  <si>
    <t>グローバルMACアドレス</t>
  </si>
  <si>
    <t>VM1TO3_MAC_ADDRESS</t>
  </si>
  <si>
    <t>100ms</t>
    <phoneticPr fontId="18"/>
  </si>
  <si>
    <t>VM2TO3_WHLINI_INF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</si>
</sst>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3">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28" fillId="33" borderId="0" xfId="0" applyFont="1" applyFill="1">
      <alignment vertical="center"/>
    </xf>
    <xf numFmtId="0" fontId="28" fillId="0" borderId="0" xfId="0" applyFont="1" applyAlignment="1">
      <alignment vertical="center" wrapText="1"/>
    </xf>
    <xf numFmtId="14" fontId="28" fillId="0" borderId="0" xfId="0" applyNumberFormat="1" applyFont="1">
      <alignment vertical="center"/>
    </xf>
    <xf numFmtId="0" fontId="25" fillId="33" borderId="0" xfId="0" applyFont="1" applyFill="1">
      <alignment vertical="center"/>
    </xf>
    <xf numFmtId="0" fontId="32" fillId="37" borderId="15" xfId="0" applyFont="1" applyFill="1" applyBorder="1" applyAlignment="1">
      <alignment vertical="center" wrapText="1"/>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x14ac:dyDescent="0.4"/>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x14ac:dyDescent="0.4">
      <c r="B2" s="56" t="s">
        <v>0</v>
      </c>
      <c r="C2" s="56" t="s">
        <v>1</v>
      </c>
      <c r="D2" s="56" t="s">
        <v>2</v>
      </c>
      <c r="E2" s="56" t="s">
        <v>3</v>
      </c>
    </row>
    <row r="3" spans="2:5" x14ac:dyDescent="0.4">
      <c r="B3" s="58" t="s">
        <v>4</v>
      </c>
      <c r="C3" s="59" t="s">
        <v>5</v>
      </c>
      <c r="D3" s="60" t="s">
        <v>6</v>
      </c>
      <c r="E3" s="61">
        <v>45839</v>
      </c>
    </row>
    <row r="4" spans="2:5" x14ac:dyDescent="0.4">
      <c r="B4" s="58" t="s">
        <v>7</v>
      </c>
      <c r="C4" s="59" t="s">
        <v>8</v>
      </c>
      <c r="D4" s="60" t="s">
        <v>9</v>
      </c>
      <c r="E4" s="61">
        <v>45868</v>
      </c>
    </row>
    <row r="5" spans="2:5" x14ac:dyDescent="0.4">
      <c r="B5" s="62"/>
      <c r="C5" s="64"/>
      <c r="D5" s="60"/>
      <c r="E5" s="63"/>
    </row>
    <row r="6" spans="2:5" x14ac:dyDescent="0.4">
      <c r="B6" s="62"/>
      <c r="C6" s="64"/>
      <c r="D6" s="60"/>
      <c r="E6" s="63"/>
    </row>
    <row r="7" spans="2:5" x14ac:dyDescent="0.4">
      <c r="B7" s="62"/>
      <c r="C7" s="59"/>
      <c r="D7" s="60"/>
      <c r="E7" s="63"/>
    </row>
    <row r="8" spans="2:5" x14ac:dyDescent="0.4">
      <c r="B8" s="62"/>
      <c r="C8" s="59"/>
      <c r="D8" s="60"/>
      <c r="E8" s="61"/>
    </row>
    <row r="9" spans="2:5" x14ac:dyDescent="0.4">
      <c r="B9" s="62"/>
      <c r="C9" s="64"/>
      <c r="D9" s="65"/>
      <c r="E9" s="63"/>
    </row>
    <row r="10" spans="2:5" x14ac:dyDescent="0.4">
      <c r="B10" s="58"/>
      <c r="C10" s="59"/>
      <c r="D10" s="60"/>
      <c r="E10" s="61"/>
    </row>
    <row r="11" spans="2:5" x14ac:dyDescent="0.4">
      <c r="B11" s="62"/>
      <c r="C11" s="64"/>
      <c r="D11" s="60"/>
      <c r="E11" s="63"/>
    </row>
    <row r="12" spans="2:5" x14ac:dyDescent="0.4">
      <c r="B12" s="58"/>
      <c r="C12" s="64"/>
      <c r="D12" s="60"/>
      <c r="E12" s="61"/>
    </row>
    <row r="13" spans="2:5" x14ac:dyDescent="0.4">
      <c r="B13" s="62"/>
      <c r="C13" s="64"/>
      <c r="D13" s="60"/>
      <c r="E13" s="61"/>
    </row>
    <row r="14" spans="2:5" x14ac:dyDescent="0.4">
      <c r="B14" s="62"/>
      <c r="C14" s="59"/>
      <c r="D14" s="60"/>
      <c r="E14" s="61"/>
    </row>
    <row r="15" spans="2:5" x14ac:dyDescent="0.4">
      <c r="B15" s="62"/>
      <c r="C15" s="59"/>
      <c r="D15" s="60"/>
      <c r="E15" s="61"/>
    </row>
    <row r="16" spans="2:5" x14ac:dyDescent="0.4">
      <c r="B16" s="62"/>
      <c r="C16" s="59"/>
      <c r="D16" s="60"/>
      <c r="E16" s="61"/>
    </row>
    <row r="17" spans="2:5" x14ac:dyDescent="0.4">
      <c r="B17" s="62"/>
      <c r="C17" s="64"/>
      <c r="D17" s="60"/>
      <c r="E17" s="61"/>
    </row>
    <row r="18" spans="2:5" x14ac:dyDescent="0.4">
      <c r="B18" s="58"/>
      <c r="C18" s="59"/>
      <c r="D18" s="60"/>
      <c r="E18" s="61"/>
    </row>
    <row r="19" spans="2:5" x14ac:dyDescent="0.4">
      <c r="B19" s="62"/>
      <c r="C19" s="59"/>
      <c r="D19" s="60"/>
      <c r="E19" s="61"/>
    </row>
    <row r="20" spans="2:5" x14ac:dyDescent="0.4">
      <c r="B20" s="62"/>
      <c r="C20" s="59"/>
      <c r="D20" s="60"/>
      <c r="E20" s="61"/>
    </row>
    <row r="21" spans="2:5" x14ac:dyDescent="0.4">
      <c r="B21" s="62"/>
      <c r="C21" s="64"/>
      <c r="D21" s="60"/>
      <c r="E21" s="61"/>
    </row>
    <row r="22" spans="2:5" x14ac:dyDescent="0.4">
      <c r="B22" s="62"/>
      <c r="C22" s="59"/>
      <c r="D22" s="60"/>
      <c r="E22" s="61"/>
    </row>
    <row r="23" spans="2:5" x14ac:dyDescent="0.4">
      <c r="B23" s="62"/>
      <c r="C23" s="59"/>
      <c r="D23" s="60"/>
      <c r="E23" s="61"/>
    </row>
    <row r="24" spans="2:5" x14ac:dyDescent="0.4">
      <c r="B24" s="58"/>
      <c r="C24" s="59"/>
      <c r="D24" s="60"/>
      <c r="E24" s="61"/>
    </row>
    <row r="25" spans="2:5" x14ac:dyDescent="0.4">
      <c r="B25" s="62"/>
      <c r="C25" s="64"/>
      <c r="D25" s="60"/>
      <c r="E25" s="61"/>
    </row>
    <row r="26" spans="2:5" x14ac:dyDescent="0.4">
      <c r="B26" s="62"/>
      <c r="C26" s="59"/>
      <c r="D26" s="60"/>
      <c r="E26" s="61"/>
    </row>
    <row r="27" spans="2:5" x14ac:dyDescent="0.4">
      <c r="B27" s="58"/>
      <c r="C27" s="59"/>
      <c r="D27" s="60"/>
      <c r="E27" s="61"/>
    </row>
    <row r="28" spans="2:5" x14ac:dyDescent="0.4">
      <c r="B28" s="62"/>
      <c r="C28" s="64"/>
      <c r="D28" s="60"/>
      <c r="E28" s="61"/>
    </row>
    <row r="29" spans="2:5" x14ac:dyDescent="0.4">
      <c r="B29" s="58"/>
      <c r="C29" s="64"/>
      <c r="D29" s="60"/>
      <c r="E29" s="61"/>
    </row>
    <row r="30" spans="2:5" x14ac:dyDescent="0.4">
      <c r="B30" s="62"/>
      <c r="C30" s="64"/>
      <c r="D30" s="60"/>
      <c r="E30" s="61"/>
    </row>
    <row r="31" spans="2:5" x14ac:dyDescent="0.4">
      <c r="B31" s="62"/>
      <c r="C31" s="64"/>
      <c r="D31" s="60"/>
      <c r="E31" s="61"/>
    </row>
    <row r="32" spans="2:5" x14ac:dyDescent="0.4">
      <c r="B32" s="62"/>
      <c r="C32" s="64"/>
      <c r="D32" s="60"/>
      <c r="E32" s="61"/>
    </row>
    <row r="33" spans="2:5" x14ac:dyDescent="0.4">
      <c r="B33" s="58"/>
      <c r="C33" s="59"/>
      <c r="D33" s="60"/>
      <c r="E33" s="61"/>
    </row>
    <row r="34" spans="2:5" x14ac:dyDescent="0.4">
      <c r="B34" s="58"/>
      <c r="C34" s="59"/>
      <c r="D34" s="60"/>
      <c r="E34" s="61"/>
    </row>
    <row r="35" spans="2:5" x14ac:dyDescent="0.4">
      <c r="B35" s="58"/>
      <c r="C35" s="64"/>
      <c r="D35" s="60"/>
      <c r="E35" s="61"/>
    </row>
    <row r="36" spans="2:5" x14ac:dyDescent="0.4">
      <c r="B36" s="58"/>
      <c r="C36" s="59"/>
      <c r="D36" s="60"/>
      <c r="E36" s="61"/>
    </row>
    <row r="37" spans="2:5" x14ac:dyDescent="0.4">
      <c r="B37" s="58"/>
      <c r="C37" s="64"/>
      <c r="D37" s="60"/>
      <c r="E37" s="61"/>
    </row>
    <row r="38" spans="2:5" x14ac:dyDescent="0.4">
      <c r="B38" s="58"/>
      <c r="C38" s="59"/>
      <c r="D38" s="60"/>
      <c r="E38" s="61"/>
    </row>
    <row r="39" spans="2:5" x14ac:dyDescent="0.4">
      <c r="B39" s="58"/>
      <c r="C39" s="59"/>
      <c r="D39" s="60"/>
      <c r="E39" s="61"/>
    </row>
    <row r="40" spans="2:5" x14ac:dyDescent="0.4">
      <c r="B40" s="58"/>
      <c r="C40" s="64"/>
      <c r="D40" s="60"/>
      <c r="E40" s="61"/>
    </row>
    <row r="41" spans="2:5" x14ac:dyDescent="0.4">
      <c r="B41" s="58"/>
      <c r="C41" s="59"/>
      <c r="D41" s="60"/>
      <c r="E41" s="61"/>
    </row>
    <row r="42" spans="2:5" x14ac:dyDescent="0.4">
      <c r="B42" s="58"/>
      <c r="C42" s="64"/>
      <c r="D42" s="60"/>
      <c r="E42" s="61"/>
    </row>
    <row r="43" spans="2:5" x14ac:dyDescent="0.4">
      <c r="B43" s="58"/>
      <c r="C43" s="59"/>
      <c r="D43" s="60"/>
      <c r="E43" s="61"/>
    </row>
    <row r="44" spans="2:5" x14ac:dyDescent="0.4">
      <c r="B44" s="58"/>
      <c r="C44" s="64"/>
      <c r="D44" s="60"/>
      <c r="E44" s="61"/>
    </row>
    <row r="45" spans="2:5" x14ac:dyDescent="0.4">
      <c r="B45" s="58"/>
      <c r="C45" s="64"/>
      <c r="D45" s="60"/>
      <c r="E45" s="61"/>
    </row>
    <row r="46" spans="2:5" x14ac:dyDescent="0.4">
      <c r="B46" s="58"/>
      <c r="C46" s="64"/>
      <c r="D46" s="60"/>
      <c r="E46" s="61"/>
    </row>
    <row r="47" spans="2:5" x14ac:dyDescent="0.4">
      <c r="B47" s="58"/>
      <c r="C47" s="64"/>
      <c r="D47" s="65"/>
      <c r="E47" s="63"/>
    </row>
    <row r="50" spans="2:2" x14ac:dyDescent="0.4">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topLeftCell="A13" zoomScale="115" zoomScaleNormal="115" workbookViewId="0">
      <selection activeCell="S26" sqref="S26"/>
    </sheetView>
  </sheetViews>
  <sheetFormatPr defaultColWidth="7" defaultRowHeight="15.75" x14ac:dyDescent="0.4"/>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x14ac:dyDescent="0.4">
      <c r="B2" s="69" t="s">
        <v>10</v>
      </c>
      <c r="C2" s="78"/>
      <c r="D2" s="78"/>
      <c r="E2" s="78"/>
      <c r="F2" s="78"/>
      <c r="G2" s="78"/>
      <c r="H2" s="78"/>
      <c r="I2" s="78"/>
      <c r="J2" s="78"/>
      <c r="K2" s="78"/>
      <c r="L2" s="78"/>
      <c r="M2" s="78"/>
      <c r="N2" s="78"/>
      <c r="O2" s="78"/>
      <c r="P2" s="78"/>
      <c r="Q2" s="78"/>
      <c r="R2" s="78"/>
      <c r="S2" s="78"/>
      <c r="T2" s="78"/>
    </row>
    <row r="3" spans="1:20" x14ac:dyDescent="0.4">
      <c r="D3" s="72" t="s">
        <v>11</v>
      </c>
    </row>
    <row r="4" spans="1:20" x14ac:dyDescent="0.4">
      <c r="D4" s="72" t="s">
        <v>12</v>
      </c>
    </row>
    <row r="6" spans="1:20" x14ac:dyDescent="0.4">
      <c r="B6" s="69" t="s">
        <v>13</v>
      </c>
      <c r="C6" s="78"/>
      <c r="D6" s="78"/>
      <c r="E6" s="78"/>
      <c r="F6" s="78"/>
      <c r="G6" s="78"/>
      <c r="H6" s="78"/>
      <c r="I6" s="78"/>
      <c r="J6" s="78"/>
      <c r="K6" s="78"/>
      <c r="L6" s="78"/>
      <c r="M6" s="78"/>
      <c r="N6" s="78"/>
      <c r="O6" s="78"/>
      <c r="P6" s="78"/>
      <c r="Q6" s="78"/>
      <c r="R6" s="78"/>
      <c r="S6" s="78"/>
      <c r="T6" s="78"/>
    </row>
    <row r="7" spans="1:20" x14ac:dyDescent="0.4">
      <c r="C7" s="72" t="s">
        <v>14</v>
      </c>
    </row>
    <row r="8" spans="1:20" x14ac:dyDescent="0.4">
      <c r="D8" s="72" t="s">
        <v>15</v>
      </c>
    </row>
    <row r="9" spans="1:20" x14ac:dyDescent="0.4">
      <c r="D9" s="72" t="s">
        <v>16</v>
      </c>
    </row>
    <row r="11" spans="1:20" x14ac:dyDescent="0.4">
      <c r="D11" s="76" t="s">
        <v>17</v>
      </c>
      <c r="E11" s="79"/>
      <c r="F11" s="79"/>
      <c r="G11" s="76" t="s">
        <v>18</v>
      </c>
      <c r="H11" s="79"/>
      <c r="I11" s="79"/>
      <c r="J11" s="76" t="s">
        <v>19</v>
      </c>
      <c r="K11" s="79"/>
      <c r="L11" s="79"/>
      <c r="M11" s="79"/>
      <c r="N11" s="80"/>
    </row>
    <row r="12" spans="1:20" x14ac:dyDescent="0.4">
      <c r="D12" s="73" t="s">
        <v>20</v>
      </c>
      <c r="E12" s="71"/>
      <c r="F12" s="71"/>
      <c r="G12" s="73" t="s">
        <v>21</v>
      </c>
      <c r="H12" s="71"/>
      <c r="I12" s="71"/>
      <c r="J12" s="73" t="s">
        <v>22</v>
      </c>
      <c r="K12" s="81"/>
      <c r="L12" s="81"/>
      <c r="M12" s="81"/>
      <c r="N12" s="82"/>
    </row>
    <row r="13" spans="1:20" x14ac:dyDescent="0.4">
      <c r="D13" s="74" t="s">
        <v>23</v>
      </c>
      <c r="E13" s="70"/>
      <c r="F13" s="70"/>
      <c r="G13" s="74" t="s">
        <v>24</v>
      </c>
      <c r="H13" s="70"/>
      <c r="I13" s="70"/>
      <c r="J13" s="75" t="s">
        <v>25</v>
      </c>
      <c r="K13" s="83"/>
      <c r="L13" s="83"/>
      <c r="M13" s="83"/>
      <c r="N13" s="84"/>
    </row>
    <row r="15" spans="1:20" x14ac:dyDescent="0.4">
      <c r="A15" s="85"/>
      <c r="D15" s="86" t="s">
        <v>26</v>
      </c>
      <c r="E15" s="86"/>
      <c r="F15" s="86"/>
    </row>
    <row r="17" spans="1:23" x14ac:dyDescent="0.4">
      <c r="C17" s="72" t="s">
        <v>27</v>
      </c>
    </row>
    <row r="18" spans="1:23" x14ac:dyDescent="0.4">
      <c r="D18" s="72" t="s">
        <v>28</v>
      </c>
    </row>
    <row r="19" spans="1:23" x14ac:dyDescent="0.4">
      <c r="D19" s="72" t="s">
        <v>29</v>
      </c>
    </row>
    <row r="20" spans="1:23" x14ac:dyDescent="0.4">
      <c r="D20" s="72" t="s">
        <v>30</v>
      </c>
    </row>
    <row r="22" spans="1:23" x14ac:dyDescent="0.4">
      <c r="D22" s="72" t="s">
        <v>31</v>
      </c>
    </row>
    <row r="23" spans="1:23" s="68" customFormat="1" ht="14.25" x14ac:dyDescent="0.4">
      <c r="A23" s="57"/>
      <c r="D23" s="69" t="s">
        <v>32</v>
      </c>
      <c r="E23" s="69"/>
      <c r="F23" s="69"/>
      <c r="G23" s="69"/>
      <c r="H23" s="69"/>
      <c r="I23" s="69"/>
      <c r="J23" s="69"/>
      <c r="K23" s="69"/>
      <c r="L23" s="69"/>
      <c r="M23" s="69"/>
      <c r="N23" s="69"/>
      <c r="O23" s="69"/>
      <c r="P23" s="69"/>
      <c r="Q23" s="69"/>
      <c r="R23" s="69"/>
      <c r="S23" s="69"/>
      <c r="T23" s="69"/>
    </row>
    <row r="24" spans="1:23" s="68" customFormat="1" x14ac:dyDescent="0.4">
      <c r="A24" s="57"/>
      <c r="E24" s="72" t="s">
        <v>33</v>
      </c>
    </row>
    <row r="25" spans="1:23" s="68" customFormat="1" ht="14.25" x14ac:dyDescent="0.4">
      <c r="A25" s="57"/>
    </row>
    <row r="26" spans="1:23" s="68" customFormat="1" ht="14.25" x14ac:dyDescent="0.4">
      <c r="A26" s="57"/>
      <c r="F26" s="69" t="s">
        <v>34</v>
      </c>
      <c r="G26" s="69"/>
      <c r="H26" s="69"/>
      <c r="I26" s="69" t="s">
        <v>35</v>
      </c>
      <c r="J26" s="69"/>
      <c r="K26" s="69"/>
      <c r="L26" s="69"/>
      <c r="M26" s="69"/>
      <c r="N26" s="69"/>
      <c r="O26" s="69"/>
      <c r="P26" s="69"/>
      <c r="Q26" s="69"/>
      <c r="R26" s="69"/>
      <c r="S26" s="69"/>
      <c r="T26" s="69"/>
      <c r="U26" s="69"/>
      <c r="V26" s="69"/>
      <c r="W26" s="69"/>
    </row>
    <row r="27" spans="1:23" s="68" customFormat="1" x14ac:dyDescent="0.4">
      <c r="A27" s="57"/>
      <c r="F27" s="81" t="s">
        <v>36</v>
      </c>
      <c r="G27" s="71"/>
      <c r="H27" s="71"/>
      <c r="I27" s="81" t="s">
        <v>37</v>
      </c>
      <c r="J27" s="71"/>
      <c r="K27" s="71"/>
      <c r="L27" s="71"/>
      <c r="M27" s="71"/>
      <c r="N27" s="71"/>
      <c r="O27" s="71"/>
      <c r="P27" s="71"/>
      <c r="Q27" s="71"/>
      <c r="R27" s="71"/>
      <c r="S27" s="71"/>
      <c r="T27" s="71"/>
      <c r="U27" s="71"/>
      <c r="V27" s="71"/>
      <c r="W27" s="71"/>
    </row>
    <row r="28" spans="1:23" s="68" customFormat="1" x14ac:dyDescent="0.4">
      <c r="A28" s="57"/>
      <c r="I28" s="72" t="s">
        <v>38</v>
      </c>
    </row>
    <row r="29" spans="1:23" s="68" customFormat="1" x14ac:dyDescent="0.4">
      <c r="A29" s="57"/>
      <c r="I29" s="72" t="s">
        <v>39</v>
      </c>
    </row>
    <row r="30" spans="1:23" s="68" customFormat="1" x14ac:dyDescent="0.4">
      <c r="A30" s="57"/>
      <c r="I30" s="72" t="s">
        <v>40</v>
      </c>
      <c r="J30" s="72" t="s">
        <v>41</v>
      </c>
    </row>
    <row r="31" spans="1:23" s="68" customFormat="1" x14ac:dyDescent="0.4">
      <c r="A31" s="57"/>
      <c r="I31" s="72" t="s">
        <v>42</v>
      </c>
      <c r="J31" s="72" t="s">
        <v>43</v>
      </c>
    </row>
    <row r="32" spans="1:23" s="68" customFormat="1" x14ac:dyDescent="0.4">
      <c r="A32" s="57"/>
      <c r="F32" s="69"/>
      <c r="G32" s="69"/>
      <c r="H32" s="69"/>
      <c r="I32" s="78" t="s">
        <v>44</v>
      </c>
      <c r="J32" s="69"/>
      <c r="K32" s="69"/>
      <c r="L32" s="69"/>
      <c r="M32" s="69"/>
      <c r="N32" s="69"/>
      <c r="O32" s="69"/>
      <c r="P32" s="69"/>
      <c r="Q32" s="69"/>
      <c r="R32" s="69"/>
      <c r="S32" s="69"/>
      <c r="T32" s="69"/>
      <c r="U32" s="69"/>
      <c r="V32" s="69"/>
      <c r="W32" s="69"/>
    </row>
    <row r="33" spans="1:23" s="68" customFormat="1" x14ac:dyDescent="0.4">
      <c r="A33" s="57"/>
      <c r="F33" s="87" t="s">
        <v>45</v>
      </c>
      <c r="I33" s="72" t="s">
        <v>46</v>
      </c>
    </row>
    <row r="34" spans="1:23" s="68" customFormat="1" x14ac:dyDescent="0.4">
      <c r="A34" s="57"/>
      <c r="F34" s="87"/>
      <c r="I34" s="86" t="s">
        <v>47</v>
      </c>
    </row>
    <row r="35" spans="1:23" s="68" customFormat="1" x14ac:dyDescent="0.4">
      <c r="A35" s="57"/>
      <c r="F35" s="87"/>
      <c r="I35" s="72" t="s">
        <v>39</v>
      </c>
    </row>
    <row r="36" spans="1:23" s="68" customFormat="1" x14ac:dyDescent="0.4">
      <c r="A36" s="57"/>
      <c r="F36" s="87"/>
      <c r="I36" s="72" t="s">
        <v>40</v>
      </c>
      <c r="J36" s="72" t="s">
        <v>48</v>
      </c>
    </row>
    <row r="37" spans="1:23" s="68" customFormat="1" x14ac:dyDescent="0.4">
      <c r="A37" s="57"/>
      <c r="I37" s="72" t="s">
        <v>42</v>
      </c>
      <c r="J37" s="72" t="s">
        <v>49</v>
      </c>
    </row>
    <row r="38" spans="1:23" s="68" customFormat="1" x14ac:dyDescent="0.4">
      <c r="A38" s="57"/>
      <c r="F38" s="81" t="s">
        <v>50</v>
      </c>
      <c r="G38" s="71"/>
      <c r="H38" s="71"/>
      <c r="I38" s="81" t="s">
        <v>51</v>
      </c>
      <c r="J38" s="71"/>
      <c r="K38" s="71"/>
      <c r="L38" s="71"/>
      <c r="M38" s="71"/>
      <c r="N38" s="71"/>
      <c r="O38" s="71"/>
      <c r="P38" s="71"/>
      <c r="Q38" s="71"/>
      <c r="R38" s="71"/>
      <c r="S38" s="71"/>
      <c r="T38" s="71"/>
      <c r="U38" s="71"/>
      <c r="V38" s="71"/>
      <c r="W38" s="71"/>
    </row>
    <row r="39" spans="1:23" s="68" customFormat="1" x14ac:dyDescent="0.4">
      <c r="A39" s="57"/>
      <c r="F39" s="72"/>
      <c r="I39" s="72" t="s">
        <v>52</v>
      </c>
    </row>
    <row r="40" spans="1:23" s="68" customFormat="1" x14ac:dyDescent="0.4">
      <c r="A40" s="57"/>
      <c r="F40" s="72"/>
      <c r="I40" s="72" t="s">
        <v>53</v>
      </c>
    </row>
    <row r="41" spans="1:23" s="68" customFormat="1" x14ac:dyDescent="0.4">
      <c r="A41" s="57"/>
      <c r="F41" s="72" t="s">
        <v>54</v>
      </c>
      <c r="I41" s="72" t="s">
        <v>55</v>
      </c>
    </row>
    <row r="42" spans="1:23" s="68" customFormat="1" x14ac:dyDescent="0.4">
      <c r="A42" s="57"/>
      <c r="F42" s="72" t="s">
        <v>56</v>
      </c>
      <c r="I42" s="72" t="s">
        <v>57</v>
      </c>
    </row>
    <row r="43" spans="1:23" s="68" customFormat="1" x14ac:dyDescent="0.4">
      <c r="A43" s="57"/>
      <c r="F43" s="72" t="s">
        <v>58</v>
      </c>
      <c r="I43" s="72" t="s">
        <v>59</v>
      </c>
    </row>
    <row r="44" spans="1:23" s="68" customFormat="1" x14ac:dyDescent="0.4">
      <c r="A44" s="57"/>
      <c r="F44" s="69"/>
      <c r="G44" s="69"/>
      <c r="H44" s="69"/>
      <c r="I44" s="90" t="s">
        <v>60</v>
      </c>
      <c r="J44" s="69"/>
      <c r="K44" s="69"/>
      <c r="L44" s="69"/>
      <c r="M44" s="69"/>
      <c r="N44" s="69"/>
      <c r="O44" s="69"/>
      <c r="P44" s="69"/>
      <c r="Q44" s="69"/>
      <c r="R44" s="69"/>
      <c r="S44" s="69"/>
      <c r="T44" s="69"/>
      <c r="U44" s="69"/>
      <c r="V44" s="69"/>
      <c r="W44" s="69"/>
    </row>
    <row r="45" spans="1:23" x14ac:dyDescent="0.4">
      <c r="F45" s="72" t="s">
        <v>61</v>
      </c>
      <c r="I45" s="72" t="s">
        <v>62</v>
      </c>
    </row>
    <row r="46" spans="1:23" x14ac:dyDescent="0.4">
      <c r="I46" s="72" t="s">
        <v>63</v>
      </c>
    </row>
    <row r="47" spans="1:23" x14ac:dyDescent="0.4">
      <c r="I47" s="72" t="s">
        <v>64</v>
      </c>
    </row>
    <row r="48" spans="1:23" x14ac:dyDescent="0.4">
      <c r="I48" s="72" t="s">
        <v>65</v>
      </c>
    </row>
    <row r="50" spans="1:20" x14ac:dyDescent="0.4">
      <c r="F50" s="89" t="s">
        <v>66</v>
      </c>
    </row>
    <row r="51" spans="1:20" x14ac:dyDescent="0.4">
      <c r="F51" s="72" t="s">
        <v>67</v>
      </c>
    </row>
    <row r="53" spans="1:20" x14ac:dyDescent="0.4">
      <c r="G53" s="72" t="s">
        <v>68</v>
      </c>
      <c r="I53" s="72" t="s">
        <v>69</v>
      </c>
    </row>
    <row r="54" spans="1:20" x14ac:dyDescent="0.4">
      <c r="G54" s="72" t="s">
        <v>70</v>
      </c>
      <c r="I54" s="72" t="s">
        <v>71</v>
      </c>
    </row>
    <row r="55" spans="1:20" x14ac:dyDescent="0.4">
      <c r="G55" s="72" t="s">
        <v>72</v>
      </c>
      <c r="I55" s="72" t="s">
        <v>73</v>
      </c>
    </row>
    <row r="56" spans="1:20" x14ac:dyDescent="0.4">
      <c r="G56" s="72" t="s">
        <v>74</v>
      </c>
      <c r="I56" s="72" t="s">
        <v>75</v>
      </c>
    </row>
    <row r="57" spans="1:20" x14ac:dyDescent="0.4">
      <c r="G57" s="72" t="s">
        <v>76</v>
      </c>
      <c r="I57" s="72" t="s">
        <v>77</v>
      </c>
    </row>
    <row r="59" spans="1:20" x14ac:dyDescent="0.4">
      <c r="F59" s="72" t="s">
        <v>78</v>
      </c>
    </row>
    <row r="60" spans="1:20" x14ac:dyDescent="0.4">
      <c r="F60" s="72" t="s">
        <v>79</v>
      </c>
    </row>
    <row r="62" spans="1:20" x14ac:dyDescent="0.4">
      <c r="D62" s="72" t="s">
        <v>80</v>
      </c>
    </row>
    <row r="63" spans="1:20" s="68" customFormat="1" ht="14.25" x14ac:dyDescent="0.4">
      <c r="A63" s="57"/>
      <c r="D63" s="69" t="s">
        <v>32</v>
      </c>
      <c r="E63" s="69"/>
      <c r="F63" s="69"/>
      <c r="G63" s="69"/>
      <c r="H63" s="69"/>
      <c r="I63" s="69"/>
      <c r="J63" s="69"/>
      <c r="K63" s="69"/>
      <c r="L63" s="69"/>
      <c r="M63" s="69"/>
      <c r="N63" s="69"/>
      <c r="O63" s="69"/>
      <c r="P63" s="69"/>
      <c r="Q63" s="69"/>
      <c r="R63" s="69"/>
      <c r="S63" s="69"/>
      <c r="T63" s="69"/>
    </row>
    <row r="64" spans="1:20" s="68" customFormat="1" x14ac:dyDescent="0.4">
      <c r="A64" s="57"/>
      <c r="E64" s="72"/>
    </row>
    <row r="65" spans="1:23" s="68" customFormat="1" ht="14.25" x14ac:dyDescent="0.4">
      <c r="A65" s="57"/>
      <c r="F65" s="69" t="s">
        <v>34</v>
      </c>
      <c r="G65" s="69"/>
      <c r="H65" s="69"/>
      <c r="I65" s="69" t="s">
        <v>35</v>
      </c>
      <c r="J65" s="69"/>
      <c r="K65" s="69"/>
      <c r="L65" s="69"/>
      <c r="M65" s="69"/>
      <c r="N65" s="69"/>
      <c r="O65" s="69"/>
      <c r="P65" s="69"/>
      <c r="Q65" s="69"/>
      <c r="R65" s="69"/>
      <c r="S65" s="69"/>
      <c r="T65" s="69"/>
      <c r="U65" s="69"/>
      <c r="V65" s="69"/>
      <c r="W65" s="69"/>
    </row>
    <row r="66" spans="1:23" s="68" customFormat="1" x14ac:dyDescent="0.4">
      <c r="A66" s="57"/>
      <c r="F66" s="83" t="s">
        <v>81</v>
      </c>
      <c r="G66" s="70"/>
      <c r="H66" s="70"/>
      <c r="I66" s="83" t="s">
        <v>82</v>
      </c>
      <c r="J66" s="70"/>
      <c r="K66" s="70"/>
      <c r="L66" s="70"/>
      <c r="M66" s="70"/>
      <c r="N66" s="70"/>
      <c r="O66" s="70"/>
      <c r="P66" s="70"/>
      <c r="Q66" s="70"/>
      <c r="R66" s="70"/>
      <c r="S66" s="70"/>
      <c r="T66" s="70"/>
      <c r="U66" s="70"/>
      <c r="V66" s="70"/>
      <c r="W66" s="70"/>
    </row>
    <row r="67" spans="1:23" s="68" customFormat="1" x14ac:dyDescent="0.4">
      <c r="A67" s="57"/>
      <c r="F67" s="83" t="s">
        <v>83</v>
      </c>
      <c r="G67" s="70"/>
      <c r="H67" s="70"/>
      <c r="I67" s="83" t="s">
        <v>82</v>
      </c>
      <c r="J67" s="70"/>
      <c r="K67" s="70"/>
      <c r="L67" s="70"/>
      <c r="M67" s="70"/>
      <c r="N67" s="70"/>
      <c r="O67" s="70"/>
      <c r="P67" s="70"/>
      <c r="Q67" s="70"/>
      <c r="R67" s="70"/>
      <c r="S67" s="70"/>
      <c r="T67" s="70"/>
      <c r="U67" s="70"/>
      <c r="V67" s="70"/>
      <c r="W67" s="70"/>
    </row>
    <row r="68" spans="1:23" s="68" customFormat="1" x14ac:dyDescent="0.4">
      <c r="A68" s="57"/>
      <c r="F68" s="81" t="s">
        <v>84</v>
      </c>
      <c r="G68" s="71"/>
      <c r="H68" s="71"/>
      <c r="I68" s="81" t="s">
        <v>85</v>
      </c>
      <c r="J68" s="71"/>
      <c r="K68" s="71"/>
      <c r="L68" s="71"/>
      <c r="M68" s="71"/>
      <c r="N68" s="71"/>
      <c r="O68" s="71"/>
      <c r="P68" s="71"/>
      <c r="Q68" s="71"/>
      <c r="R68" s="71"/>
      <c r="S68" s="71"/>
      <c r="T68" s="71"/>
      <c r="U68" s="71"/>
      <c r="V68" s="71"/>
      <c r="W68" s="71"/>
    </row>
    <row r="69" spans="1:23" s="68" customFormat="1" x14ac:dyDescent="0.4">
      <c r="A69" s="57"/>
      <c r="F69" s="72"/>
      <c r="I69" s="72" t="s">
        <v>86</v>
      </c>
    </row>
    <row r="70" spans="1:23" s="68" customFormat="1" x14ac:dyDescent="0.4">
      <c r="A70" s="57"/>
      <c r="F70" s="87"/>
      <c r="I70" s="72" t="s">
        <v>87</v>
      </c>
      <c r="J70" s="72"/>
    </row>
    <row r="71" spans="1:23" s="68" customFormat="1" x14ac:dyDescent="0.4">
      <c r="A71" s="57"/>
      <c r="I71" s="72" t="s">
        <v>88</v>
      </c>
      <c r="J71" s="72"/>
    </row>
    <row r="72" spans="1:23" s="68" customFormat="1" x14ac:dyDescent="0.4">
      <c r="A72" s="57"/>
      <c r="I72" s="72" t="s">
        <v>89</v>
      </c>
      <c r="J72" s="72"/>
    </row>
    <row r="73" spans="1:23" s="68" customFormat="1" x14ac:dyDescent="0.4">
      <c r="A73" s="57"/>
      <c r="I73" s="72" t="s">
        <v>90</v>
      </c>
      <c r="J73" s="72"/>
    </row>
    <row r="74" spans="1:23" s="68" customFormat="1" x14ac:dyDescent="0.4">
      <c r="A74" s="57"/>
      <c r="I74" s="72" t="s">
        <v>91</v>
      </c>
      <c r="J74" s="72"/>
    </row>
    <row r="75" spans="1:23" s="68" customFormat="1" x14ac:dyDescent="0.4">
      <c r="A75" s="57"/>
      <c r="I75" s="72" t="s">
        <v>92</v>
      </c>
      <c r="J75" s="72"/>
    </row>
    <row r="76" spans="1:23" s="68" customFormat="1" x14ac:dyDescent="0.4">
      <c r="A76" s="57"/>
      <c r="I76" s="72" t="s">
        <v>93</v>
      </c>
      <c r="J76" s="72"/>
    </row>
    <row r="77" spans="1:23" s="68" customFormat="1" x14ac:dyDescent="0.4">
      <c r="A77" s="57"/>
      <c r="I77" s="72" t="s">
        <v>94</v>
      </c>
      <c r="J77" s="72"/>
    </row>
    <row r="78" spans="1:23" x14ac:dyDescent="0.4">
      <c r="C78" s="72" t="s">
        <v>95</v>
      </c>
    </row>
    <row r="79" spans="1:23" x14ac:dyDescent="0.4">
      <c r="D79" s="88" t="s">
        <v>96</v>
      </c>
    </row>
    <row r="80" spans="1:23" x14ac:dyDescent="0.4">
      <c r="D80" s="88" t="s">
        <v>97</v>
      </c>
    </row>
    <row r="81" spans="5:8" x14ac:dyDescent="0.4">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01"/>
  <sheetViews>
    <sheetView tabSelected="1" zoomScale="40" zoomScaleNormal="40" workbookViewId="0">
      <pane ySplit="1" topLeftCell="A21" activePane="bottomLeft" state="frozen"/>
      <selection pane="bottomLeft" activeCell="P23" sqref="P23"/>
    </sheetView>
  </sheetViews>
  <sheetFormatPr defaultRowHeight="18.75" x14ac:dyDescent="0.4"/>
  <cols>
    <col min="1" max="1" width="9.125" bestFit="1" customWidth="1"/>
    <col min="2" max="2" width="16.625" customWidth="1"/>
    <col min="3" max="3" width="36.375" customWidth="1"/>
    <col min="4" max="4" width="29.5" customWidth="1"/>
    <col min="9" max="9" width="9.125" bestFit="1" customWidth="1"/>
    <col min="14" max="14" width="9.125" bestFit="1" customWidth="1"/>
    <col min="15" max="15" width="12.75" bestFit="1" customWidth="1"/>
    <col min="16" max="16" width="11.5" bestFit="1" customWidth="1"/>
  </cols>
  <sheetData>
    <row r="1" spans="1:16" x14ac:dyDescent="0.4">
      <c r="A1" s="6"/>
      <c r="B1" s="6" t="s">
        <v>100</v>
      </c>
      <c r="C1" s="6" t="s">
        <v>101</v>
      </c>
      <c r="D1" s="6" t="s">
        <v>251</v>
      </c>
      <c r="E1" s="6" t="s">
        <v>103</v>
      </c>
      <c r="F1" s="6" t="s">
        <v>283</v>
      </c>
      <c r="G1" s="6" t="s">
        <v>286</v>
      </c>
      <c r="H1" s="6" t="s">
        <v>106</v>
      </c>
      <c r="I1" s="6" t="s">
        <v>107</v>
      </c>
      <c r="J1" s="6" t="s">
        <v>108</v>
      </c>
      <c r="K1" s="6" t="s">
        <v>109</v>
      </c>
      <c r="L1" s="6" t="s">
        <v>110</v>
      </c>
      <c r="M1" s="6" t="s">
        <v>111</v>
      </c>
      <c r="N1" s="6" t="s">
        <v>112</v>
      </c>
      <c r="O1" s="6" t="s">
        <v>113</v>
      </c>
      <c r="P1" s="6" t="s">
        <v>114</v>
      </c>
    </row>
    <row r="2" spans="1:16" ht="47.25" x14ac:dyDescent="0.4">
      <c r="A2" s="98">
        <v>1</v>
      </c>
      <c r="B2" s="31" t="s">
        <v>115</v>
      </c>
      <c r="C2" s="31" t="s">
        <v>116</v>
      </c>
      <c r="D2" s="98" t="s">
        <v>467</v>
      </c>
      <c r="E2" s="98" t="s">
        <v>117</v>
      </c>
      <c r="F2" s="98" t="s">
        <v>118</v>
      </c>
      <c r="G2" s="98" t="s">
        <v>117</v>
      </c>
      <c r="H2" s="98" t="s">
        <v>119</v>
      </c>
      <c r="I2" s="98">
        <v>1</v>
      </c>
      <c r="J2" s="31" t="s">
        <v>120</v>
      </c>
      <c r="K2" s="31" t="s">
        <v>120</v>
      </c>
      <c r="L2" s="31" t="s">
        <v>121</v>
      </c>
      <c r="M2" s="31" t="s">
        <v>122</v>
      </c>
      <c r="N2" s="31">
        <v>1</v>
      </c>
      <c r="O2" s="31"/>
      <c r="P2" s="99" t="s">
        <v>123</v>
      </c>
    </row>
    <row r="3" spans="1:16" ht="47.25" x14ac:dyDescent="0.4">
      <c r="A3" s="98">
        <v>2</v>
      </c>
      <c r="B3" s="31" t="s">
        <v>115</v>
      </c>
      <c r="C3" s="31" t="s">
        <v>116</v>
      </c>
      <c r="D3" s="98" t="s">
        <v>468</v>
      </c>
      <c r="E3" s="98" t="s">
        <v>117</v>
      </c>
      <c r="F3" s="98" t="s">
        <v>117</v>
      </c>
      <c r="G3" s="98" t="s">
        <v>118</v>
      </c>
      <c r="H3" s="98" t="s">
        <v>119</v>
      </c>
      <c r="I3" s="98">
        <v>1</v>
      </c>
      <c r="J3" s="31" t="s">
        <v>120</v>
      </c>
      <c r="K3" s="31" t="s">
        <v>120</v>
      </c>
      <c r="L3" s="31" t="s">
        <v>121</v>
      </c>
      <c r="M3" s="31" t="s">
        <v>122</v>
      </c>
      <c r="N3" s="31">
        <v>1</v>
      </c>
      <c r="O3" s="31"/>
      <c r="P3" s="99" t="s">
        <v>123</v>
      </c>
    </row>
    <row r="4" spans="1:16" ht="63" x14ac:dyDescent="0.4">
      <c r="A4" s="98">
        <v>3</v>
      </c>
      <c r="B4" s="31" t="s">
        <v>124</v>
      </c>
      <c r="C4" s="99" t="s">
        <v>125</v>
      </c>
      <c r="D4" s="98" t="s">
        <v>469</v>
      </c>
      <c r="E4" s="98" t="s">
        <v>117</v>
      </c>
      <c r="F4" s="98" t="s">
        <v>118</v>
      </c>
      <c r="G4" s="98" t="s">
        <v>119</v>
      </c>
      <c r="H4" s="98" t="s">
        <v>117</v>
      </c>
      <c r="I4" s="98">
        <v>2</v>
      </c>
      <c r="J4" s="31" t="s">
        <v>126</v>
      </c>
      <c r="K4" s="31" t="s">
        <v>126</v>
      </c>
      <c r="L4" s="31" t="s">
        <v>121</v>
      </c>
      <c r="M4" s="31" t="s">
        <v>122</v>
      </c>
      <c r="N4" s="31">
        <v>1</v>
      </c>
      <c r="O4" s="99" t="s">
        <v>127</v>
      </c>
      <c r="P4" s="99" t="s">
        <v>128</v>
      </c>
    </row>
    <row r="5" spans="1:16" ht="47.25" x14ac:dyDescent="0.4">
      <c r="A5" s="98">
        <v>4</v>
      </c>
      <c r="B5" s="31" t="s">
        <v>115</v>
      </c>
      <c r="C5" s="31" t="s">
        <v>129</v>
      </c>
      <c r="D5" s="98" t="s">
        <v>470</v>
      </c>
      <c r="E5" s="98" t="s">
        <v>117</v>
      </c>
      <c r="F5" s="98" t="s">
        <v>117</v>
      </c>
      <c r="G5" s="98" t="s">
        <v>119</v>
      </c>
      <c r="H5" s="98" t="s">
        <v>118</v>
      </c>
      <c r="I5" s="98">
        <v>1</v>
      </c>
      <c r="J5" s="31" t="s">
        <v>120</v>
      </c>
      <c r="K5" s="31" t="s">
        <v>120</v>
      </c>
      <c r="L5" s="31" t="s">
        <v>121</v>
      </c>
      <c r="M5" s="31" t="s">
        <v>122</v>
      </c>
      <c r="N5" s="31">
        <v>1</v>
      </c>
      <c r="O5" s="100">
        <v>45715</v>
      </c>
      <c r="P5" s="99" t="s">
        <v>128</v>
      </c>
    </row>
    <row r="6" spans="1:16" ht="63" x14ac:dyDescent="0.4">
      <c r="A6" s="98">
        <v>5</v>
      </c>
      <c r="B6" s="31" t="s">
        <v>115</v>
      </c>
      <c r="C6" s="99" t="s">
        <v>130</v>
      </c>
      <c r="D6" s="98" t="s">
        <v>490</v>
      </c>
      <c r="E6" s="98" t="s">
        <v>117</v>
      </c>
      <c r="F6" s="98" t="s">
        <v>117</v>
      </c>
      <c r="G6" s="98" t="s">
        <v>119</v>
      </c>
      <c r="H6" s="98" t="s">
        <v>118</v>
      </c>
      <c r="I6" s="98">
        <v>1</v>
      </c>
      <c r="J6" s="31" t="s">
        <v>120</v>
      </c>
      <c r="K6" s="31" t="s">
        <v>120</v>
      </c>
      <c r="L6" s="31" t="s">
        <v>121</v>
      </c>
      <c r="M6" s="31" t="s">
        <v>122</v>
      </c>
      <c r="N6" s="31">
        <v>1</v>
      </c>
      <c r="O6" s="100">
        <v>45715</v>
      </c>
      <c r="P6" s="99" t="s">
        <v>131</v>
      </c>
    </row>
    <row r="7" spans="1:16" ht="47.25" x14ac:dyDescent="0.4">
      <c r="A7" s="98">
        <v>6</v>
      </c>
      <c r="B7" s="31" t="s">
        <v>124</v>
      </c>
      <c r="C7" s="99" t="s">
        <v>125</v>
      </c>
      <c r="D7" s="98" t="s">
        <v>471</v>
      </c>
      <c r="E7" s="98" t="s">
        <v>117</v>
      </c>
      <c r="F7" s="98" t="s">
        <v>119</v>
      </c>
      <c r="G7" s="98" t="s">
        <v>118</v>
      </c>
      <c r="H7" s="98" t="s">
        <v>117</v>
      </c>
      <c r="I7" s="98">
        <v>2</v>
      </c>
      <c r="J7" s="31" t="s">
        <v>126</v>
      </c>
      <c r="K7" s="31" t="s">
        <v>126</v>
      </c>
      <c r="L7" s="31" t="s">
        <v>121</v>
      </c>
      <c r="M7" s="31" t="s">
        <v>122</v>
      </c>
      <c r="N7" s="31">
        <v>1</v>
      </c>
      <c r="O7" s="100">
        <v>45756</v>
      </c>
      <c r="P7" s="99" t="s">
        <v>128</v>
      </c>
    </row>
    <row r="8" spans="1:16" ht="47.25" x14ac:dyDescent="0.4">
      <c r="A8" s="98">
        <v>7</v>
      </c>
      <c r="B8" s="31" t="s">
        <v>124</v>
      </c>
      <c r="C8" s="99" t="s">
        <v>132</v>
      </c>
      <c r="D8" s="98" t="s">
        <v>472</v>
      </c>
      <c r="E8" s="98" t="s">
        <v>117</v>
      </c>
      <c r="F8" s="98" t="s">
        <v>118</v>
      </c>
      <c r="G8" s="98" t="s">
        <v>119</v>
      </c>
      <c r="H8" s="98" t="s">
        <v>117</v>
      </c>
      <c r="I8" s="98">
        <v>1</v>
      </c>
      <c r="J8" s="31" t="s">
        <v>126</v>
      </c>
      <c r="K8" s="31" t="s">
        <v>126</v>
      </c>
      <c r="L8" s="31" t="s">
        <v>121</v>
      </c>
      <c r="M8" s="31" t="s">
        <v>122</v>
      </c>
      <c r="N8" s="31">
        <v>1</v>
      </c>
      <c r="O8" s="100">
        <v>45756</v>
      </c>
      <c r="P8" s="99" t="s">
        <v>128</v>
      </c>
    </row>
    <row r="9" spans="1:16" ht="47.25" x14ac:dyDescent="0.4">
      <c r="A9" s="98">
        <v>8</v>
      </c>
      <c r="B9" s="31" t="s">
        <v>124</v>
      </c>
      <c r="C9" s="99" t="s">
        <v>132</v>
      </c>
      <c r="D9" s="98" t="s">
        <v>473</v>
      </c>
      <c r="E9" s="98" t="s">
        <v>117</v>
      </c>
      <c r="F9" s="98" t="s">
        <v>119</v>
      </c>
      <c r="G9" s="98" t="s">
        <v>118</v>
      </c>
      <c r="H9" s="98" t="s">
        <v>117</v>
      </c>
      <c r="I9" s="98">
        <v>1</v>
      </c>
      <c r="J9" s="31" t="s">
        <v>126</v>
      </c>
      <c r="K9" s="31" t="s">
        <v>126</v>
      </c>
      <c r="L9" s="31" t="s">
        <v>121</v>
      </c>
      <c r="M9" s="31" t="s">
        <v>122</v>
      </c>
      <c r="N9" s="31">
        <v>1</v>
      </c>
      <c r="O9" s="100">
        <v>45756</v>
      </c>
      <c r="P9" s="99" t="s">
        <v>128</v>
      </c>
    </row>
    <row r="10" spans="1:16" ht="47.25" x14ac:dyDescent="0.4">
      <c r="A10" s="98">
        <v>9</v>
      </c>
      <c r="B10" s="31" t="s">
        <v>124</v>
      </c>
      <c r="C10" s="99" t="s">
        <v>493</v>
      </c>
      <c r="D10" s="98" t="s">
        <v>474</v>
      </c>
      <c r="E10" s="98" t="s">
        <v>117</v>
      </c>
      <c r="F10" s="98" t="s">
        <v>119</v>
      </c>
      <c r="G10" s="98" t="s">
        <v>118</v>
      </c>
      <c r="H10" s="98" t="s">
        <v>117</v>
      </c>
      <c r="I10" s="98">
        <v>1</v>
      </c>
      <c r="J10" s="31" t="s">
        <v>126</v>
      </c>
      <c r="K10" s="31" t="s">
        <v>126</v>
      </c>
      <c r="L10" s="31" t="s">
        <v>121</v>
      </c>
      <c r="M10" s="31" t="s">
        <v>122</v>
      </c>
      <c r="N10" s="31">
        <v>1</v>
      </c>
      <c r="O10" s="100">
        <v>45762</v>
      </c>
      <c r="P10" s="99" t="s">
        <v>133</v>
      </c>
    </row>
    <row r="11" spans="1:16" ht="47.25" x14ac:dyDescent="0.4">
      <c r="A11" s="98">
        <v>10</v>
      </c>
      <c r="B11" s="31" t="s">
        <v>124</v>
      </c>
      <c r="C11" s="99" t="s">
        <v>494</v>
      </c>
      <c r="D11" s="98" t="s">
        <v>475</v>
      </c>
      <c r="E11" s="98" t="s">
        <v>117</v>
      </c>
      <c r="F11" s="98" t="s">
        <v>119</v>
      </c>
      <c r="G11" s="98" t="s">
        <v>118</v>
      </c>
      <c r="H11" s="98" t="s">
        <v>117</v>
      </c>
      <c r="I11" s="98">
        <v>1</v>
      </c>
      <c r="J11" s="31" t="s">
        <v>126</v>
      </c>
      <c r="K11" s="31" t="s">
        <v>126</v>
      </c>
      <c r="L11" s="31" t="s">
        <v>121</v>
      </c>
      <c r="M11" s="31" t="s">
        <v>122</v>
      </c>
      <c r="N11" s="31">
        <v>1</v>
      </c>
      <c r="O11" s="100">
        <v>45762</v>
      </c>
      <c r="P11" s="99" t="s">
        <v>133</v>
      </c>
    </row>
    <row r="12" spans="1:16" ht="47.25" x14ac:dyDescent="0.4">
      <c r="A12" s="98">
        <v>11</v>
      </c>
      <c r="B12" s="31" t="s">
        <v>124</v>
      </c>
      <c r="C12" s="99" t="s">
        <v>134</v>
      </c>
      <c r="D12" s="98" t="s">
        <v>476</v>
      </c>
      <c r="E12" s="98" t="s">
        <v>117</v>
      </c>
      <c r="F12" s="98" t="s">
        <v>118</v>
      </c>
      <c r="G12" s="98" t="s">
        <v>119</v>
      </c>
      <c r="H12" s="98" t="s">
        <v>117</v>
      </c>
      <c r="I12" s="98">
        <v>2</v>
      </c>
      <c r="J12" s="31" t="s">
        <v>126</v>
      </c>
      <c r="K12" s="31" t="s">
        <v>126</v>
      </c>
      <c r="L12" s="31" t="s">
        <v>121</v>
      </c>
      <c r="M12" s="31" t="s">
        <v>122</v>
      </c>
      <c r="N12" s="31">
        <v>1</v>
      </c>
      <c r="O12" s="100">
        <v>45762</v>
      </c>
      <c r="P12" s="99" t="s">
        <v>133</v>
      </c>
    </row>
    <row r="13" spans="1:16" ht="47.25" x14ac:dyDescent="0.4">
      <c r="A13" s="98">
        <v>12</v>
      </c>
      <c r="B13" s="31" t="s">
        <v>124</v>
      </c>
      <c r="C13" s="99" t="s">
        <v>134</v>
      </c>
      <c r="D13" s="98" t="s">
        <v>477</v>
      </c>
      <c r="E13" s="98" t="s">
        <v>117</v>
      </c>
      <c r="F13" s="98" t="s">
        <v>119</v>
      </c>
      <c r="G13" s="98" t="s">
        <v>118</v>
      </c>
      <c r="H13" s="98" t="s">
        <v>117</v>
      </c>
      <c r="I13" s="98">
        <v>2</v>
      </c>
      <c r="J13" s="31" t="s">
        <v>126</v>
      </c>
      <c r="K13" s="31" t="s">
        <v>126</v>
      </c>
      <c r="L13" s="31" t="s">
        <v>121</v>
      </c>
      <c r="M13" s="31" t="s">
        <v>122</v>
      </c>
      <c r="N13" s="31">
        <v>1</v>
      </c>
      <c r="O13" s="100">
        <v>45762</v>
      </c>
      <c r="P13" s="99" t="s">
        <v>133</v>
      </c>
    </row>
    <row r="14" spans="1:16" ht="47.25" x14ac:dyDescent="0.4">
      <c r="A14" s="98">
        <v>13</v>
      </c>
      <c r="B14" s="31" t="s">
        <v>124</v>
      </c>
      <c r="C14" s="31" t="s">
        <v>135</v>
      </c>
      <c r="D14" s="98" t="s">
        <v>478</v>
      </c>
      <c r="E14" s="98" t="s">
        <v>117</v>
      </c>
      <c r="F14" s="98" t="s">
        <v>118</v>
      </c>
      <c r="G14" s="98" t="s">
        <v>119</v>
      </c>
      <c r="H14" s="98" t="s">
        <v>117</v>
      </c>
      <c r="I14" s="98">
        <v>2</v>
      </c>
      <c r="J14" s="31" t="s">
        <v>126</v>
      </c>
      <c r="K14" s="31" t="s">
        <v>126</v>
      </c>
      <c r="L14" s="31" t="s">
        <v>121</v>
      </c>
      <c r="M14" s="31" t="s">
        <v>122</v>
      </c>
      <c r="N14" s="31">
        <v>1</v>
      </c>
      <c r="O14" s="100">
        <v>45762</v>
      </c>
      <c r="P14" s="99" t="s">
        <v>133</v>
      </c>
    </row>
    <row r="15" spans="1:16" ht="47.25" x14ac:dyDescent="0.4">
      <c r="A15" s="98">
        <v>14</v>
      </c>
      <c r="B15" s="31" t="s">
        <v>124</v>
      </c>
      <c r="C15" s="31" t="s">
        <v>136</v>
      </c>
      <c r="D15" s="98" t="s">
        <v>479</v>
      </c>
      <c r="E15" s="98" t="s">
        <v>117</v>
      </c>
      <c r="F15" s="98" t="s">
        <v>118</v>
      </c>
      <c r="G15" s="98" t="s">
        <v>119</v>
      </c>
      <c r="H15" s="98" t="s">
        <v>117</v>
      </c>
      <c r="I15" s="98">
        <v>2</v>
      </c>
      <c r="J15" s="31" t="s">
        <v>126</v>
      </c>
      <c r="K15" s="31" t="s">
        <v>126</v>
      </c>
      <c r="L15" s="31" t="s">
        <v>121</v>
      </c>
      <c r="M15" s="31" t="s">
        <v>122</v>
      </c>
      <c r="N15" s="31">
        <v>1</v>
      </c>
      <c r="O15" s="100">
        <v>45762</v>
      </c>
      <c r="P15" s="99" t="s">
        <v>133</v>
      </c>
    </row>
    <row r="16" spans="1:16" ht="47.25" x14ac:dyDescent="0.4">
      <c r="A16" s="98">
        <v>15</v>
      </c>
      <c r="B16" s="31" t="s">
        <v>137</v>
      </c>
      <c r="C16" s="31" t="s">
        <v>138</v>
      </c>
      <c r="D16" s="98" t="s">
        <v>480</v>
      </c>
      <c r="E16" s="98" t="s">
        <v>117</v>
      </c>
      <c r="F16" s="98" t="s">
        <v>118</v>
      </c>
      <c r="G16" s="98" t="s">
        <v>117</v>
      </c>
      <c r="H16" s="98" t="s">
        <v>119</v>
      </c>
      <c r="I16" s="98">
        <v>1</v>
      </c>
      <c r="J16" s="31" t="s">
        <v>120</v>
      </c>
      <c r="K16" s="31" t="s">
        <v>120</v>
      </c>
      <c r="L16" s="31" t="s">
        <v>121</v>
      </c>
      <c r="M16" s="31" t="s">
        <v>122</v>
      </c>
      <c r="N16" s="31">
        <v>1</v>
      </c>
      <c r="O16" s="100">
        <v>45785</v>
      </c>
      <c r="P16" s="99" t="s">
        <v>139</v>
      </c>
    </row>
    <row r="17" spans="1:16" s="95" customFormat="1" ht="47.25" x14ac:dyDescent="0.4">
      <c r="A17" s="98">
        <v>16</v>
      </c>
      <c r="B17" s="31" t="s">
        <v>140</v>
      </c>
      <c r="C17" s="99" t="s">
        <v>444</v>
      </c>
      <c r="D17" s="98" t="s">
        <v>445</v>
      </c>
      <c r="E17" s="98" t="s">
        <v>117</v>
      </c>
      <c r="F17" s="98" t="s">
        <v>119</v>
      </c>
      <c r="G17" s="98" t="s">
        <v>118</v>
      </c>
      <c r="H17" s="98" t="s">
        <v>117</v>
      </c>
      <c r="I17" s="98">
        <v>1</v>
      </c>
      <c r="J17" s="31" t="s">
        <v>120</v>
      </c>
      <c r="K17" s="31" t="s">
        <v>120</v>
      </c>
      <c r="L17" s="31" t="s">
        <v>121</v>
      </c>
      <c r="M17" s="31" t="s">
        <v>122</v>
      </c>
      <c r="N17" s="31">
        <v>1</v>
      </c>
      <c r="O17" s="100">
        <v>45797</v>
      </c>
      <c r="P17" s="99" t="s">
        <v>141</v>
      </c>
    </row>
    <row r="18" spans="1:16" s="95" customFormat="1" ht="47.25" x14ac:dyDescent="0.4">
      <c r="A18" s="98">
        <v>17</v>
      </c>
      <c r="B18" s="31" t="s">
        <v>140</v>
      </c>
      <c r="C18" s="99" t="s">
        <v>444</v>
      </c>
      <c r="D18" s="98" t="s">
        <v>446</v>
      </c>
      <c r="E18" s="98" t="s">
        <v>117</v>
      </c>
      <c r="F18" s="98" t="s">
        <v>118</v>
      </c>
      <c r="G18" s="98" t="s">
        <v>119</v>
      </c>
      <c r="H18" s="98" t="s">
        <v>117</v>
      </c>
      <c r="I18" s="98">
        <v>1</v>
      </c>
      <c r="J18" s="31" t="s">
        <v>120</v>
      </c>
      <c r="K18" s="31" t="s">
        <v>120</v>
      </c>
      <c r="L18" s="31" t="s">
        <v>121</v>
      </c>
      <c r="M18" s="31" t="s">
        <v>122</v>
      </c>
      <c r="N18" s="31">
        <v>1</v>
      </c>
      <c r="O18" s="100">
        <v>45797</v>
      </c>
      <c r="P18" s="99" t="s">
        <v>141</v>
      </c>
    </row>
    <row r="19" spans="1:16" ht="63" x14ac:dyDescent="0.4">
      <c r="A19" s="98">
        <v>18</v>
      </c>
      <c r="B19" s="31" t="s">
        <v>142</v>
      </c>
      <c r="C19" s="99" t="s">
        <v>495</v>
      </c>
      <c r="D19" s="98" t="s">
        <v>481</v>
      </c>
      <c r="E19" s="98" t="s">
        <v>118</v>
      </c>
      <c r="F19" s="98" t="s">
        <v>117</v>
      </c>
      <c r="G19" s="98" t="s">
        <v>119</v>
      </c>
      <c r="H19" s="98" t="s">
        <v>117</v>
      </c>
      <c r="I19" s="98">
        <v>1</v>
      </c>
      <c r="J19" s="31" t="s">
        <v>120</v>
      </c>
      <c r="K19" s="31" t="s">
        <v>120</v>
      </c>
      <c r="L19" s="31" t="s">
        <v>121</v>
      </c>
      <c r="M19" s="31" t="s">
        <v>122</v>
      </c>
      <c r="N19" s="31">
        <v>1</v>
      </c>
      <c r="O19" s="99" t="s">
        <v>143</v>
      </c>
      <c r="P19" s="99" t="s">
        <v>144</v>
      </c>
    </row>
    <row r="20" spans="1:16" ht="47.25" x14ac:dyDescent="0.4">
      <c r="A20" s="98">
        <v>19</v>
      </c>
      <c r="B20" s="31" t="s">
        <v>142</v>
      </c>
      <c r="C20" s="99" t="s">
        <v>496</v>
      </c>
      <c r="D20" s="98" t="s">
        <v>482</v>
      </c>
      <c r="E20" s="98" t="s">
        <v>118</v>
      </c>
      <c r="F20" s="98" t="s">
        <v>117</v>
      </c>
      <c r="G20" s="98" t="s">
        <v>119</v>
      </c>
      <c r="H20" s="98" t="s">
        <v>117</v>
      </c>
      <c r="I20" s="98">
        <v>1</v>
      </c>
      <c r="J20" s="31" t="s">
        <v>120</v>
      </c>
      <c r="K20" s="31" t="s">
        <v>120</v>
      </c>
      <c r="L20" s="31" t="s">
        <v>121</v>
      </c>
      <c r="M20" s="31" t="s">
        <v>122</v>
      </c>
      <c r="N20" s="31">
        <v>1</v>
      </c>
      <c r="O20" s="100">
        <v>45798</v>
      </c>
      <c r="P20" s="99" t="s">
        <v>144</v>
      </c>
    </row>
    <row r="21" spans="1:16" ht="47.25" x14ac:dyDescent="0.4">
      <c r="A21" s="98">
        <v>20</v>
      </c>
      <c r="B21" s="31" t="s">
        <v>142</v>
      </c>
      <c r="C21" s="99" t="s">
        <v>497</v>
      </c>
      <c r="D21" s="98" t="s">
        <v>483</v>
      </c>
      <c r="E21" s="98" t="s">
        <v>118</v>
      </c>
      <c r="F21" s="98" t="s">
        <v>117</v>
      </c>
      <c r="G21" s="98" t="s">
        <v>119</v>
      </c>
      <c r="H21" s="98" t="s">
        <v>117</v>
      </c>
      <c r="I21" s="98">
        <v>1</v>
      </c>
      <c r="J21" s="31" t="s">
        <v>120</v>
      </c>
      <c r="K21" s="31" t="s">
        <v>120</v>
      </c>
      <c r="L21" s="31" t="s">
        <v>121</v>
      </c>
      <c r="M21" s="31" t="s">
        <v>122</v>
      </c>
      <c r="N21" s="31">
        <v>1</v>
      </c>
      <c r="O21" s="100">
        <v>45804</v>
      </c>
      <c r="P21" s="99" t="s">
        <v>144</v>
      </c>
    </row>
    <row r="22" spans="1:16" ht="47.25" x14ac:dyDescent="0.4">
      <c r="A22" s="98">
        <v>21</v>
      </c>
      <c r="B22" s="31" t="s">
        <v>142</v>
      </c>
      <c r="C22" s="99" t="s">
        <v>498</v>
      </c>
      <c r="D22" s="98" t="s">
        <v>484</v>
      </c>
      <c r="E22" s="98" t="s">
        <v>118</v>
      </c>
      <c r="F22" s="98" t="s">
        <v>117</v>
      </c>
      <c r="G22" s="98" t="s">
        <v>119</v>
      </c>
      <c r="H22" s="98" t="s">
        <v>117</v>
      </c>
      <c r="I22" s="98">
        <v>1</v>
      </c>
      <c r="J22" s="31" t="s">
        <v>120</v>
      </c>
      <c r="K22" s="31" t="s">
        <v>120</v>
      </c>
      <c r="L22" s="31" t="s">
        <v>121</v>
      </c>
      <c r="M22" s="31" t="s">
        <v>122</v>
      </c>
      <c r="N22" s="31">
        <v>1</v>
      </c>
      <c r="O22" s="100">
        <v>45804</v>
      </c>
      <c r="P22" s="99" t="s">
        <v>144</v>
      </c>
    </row>
    <row r="23" spans="1:16" s="95" customFormat="1" ht="173.25" x14ac:dyDescent="0.4">
      <c r="A23" s="98">
        <v>22</v>
      </c>
      <c r="B23" s="31" t="s">
        <v>145</v>
      </c>
      <c r="C23" s="31" t="s">
        <v>146</v>
      </c>
      <c r="D23" s="98" t="s">
        <v>147</v>
      </c>
      <c r="E23" s="98" t="s">
        <v>117</v>
      </c>
      <c r="F23" s="98" t="s">
        <v>118</v>
      </c>
      <c r="G23" s="98" t="s">
        <v>119</v>
      </c>
      <c r="H23" s="98" t="s">
        <v>117</v>
      </c>
      <c r="I23" s="98">
        <v>1</v>
      </c>
      <c r="J23" s="31" t="s">
        <v>120</v>
      </c>
      <c r="K23" s="31" t="s">
        <v>120</v>
      </c>
      <c r="L23" s="31" t="s">
        <v>121</v>
      </c>
      <c r="M23" s="31" t="s">
        <v>122</v>
      </c>
      <c r="N23" s="31">
        <v>1</v>
      </c>
      <c r="O23" s="100">
        <v>45806</v>
      </c>
      <c r="P23" s="99" t="s">
        <v>148</v>
      </c>
    </row>
    <row r="24" spans="1:16" s="95" customFormat="1" x14ac:dyDescent="0.4">
      <c r="A24" s="98">
        <v>23</v>
      </c>
      <c r="B24" s="31" t="s">
        <v>115</v>
      </c>
      <c r="C24" s="31" t="s">
        <v>149</v>
      </c>
      <c r="D24" s="98" t="s">
        <v>525</v>
      </c>
      <c r="E24" s="98" t="s">
        <v>117</v>
      </c>
      <c r="F24" s="98" t="s">
        <v>117</v>
      </c>
      <c r="G24" s="98" t="s">
        <v>118</v>
      </c>
      <c r="H24" s="98" t="s">
        <v>119</v>
      </c>
      <c r="I24" s="98">
        <v>3</v>
      </c>
      <c r="J24" s="31" t="s">
        <v>120</v>
      </c>
      <c r="K24" s="31" t="s">
        <v>120</v>
      </c>
      <c r="L24" s="31" t="s">
        <v>121</v>
      </c>
      <c r="M24" s="31" t="s">
        <v>122</v>
      </c>
      <c r="N24" s="31">
        <v>1</v>
      </c>
      <c r="O24" s="100">
        <v>45806</v>
      </c>
      <c r="P24" s="100">
        <v>45835</v>
      </c>
    </row>
    <row r="25" spans="1:16" x14ac:dyDescent="0.4">
      <c r="A25" s="1">
        <v>24</v>
      </c>
      <c r="B25" s="31" t="s">
        <v>499</v>
      </c>
      <c r="C25" s="31" t="s">
        <v>448</v>
      </c>
      <c r="D25" s="98" t="s">
        <v>447</v>
      </c>
      <c r="E25" s="98" t="s">
        <v>117</v>
      </c>
      <c r="F25" s="98" t="s">
        <v>117</v>
      </c>
      <c r="G25" s="98" t="s">
        <v>119</v>
      </c>
      <c r="H25" s="98" t="s">
        <v>118</v>
      </c>
      <c r="I25" s="98">
        <v>4</v>
      </c>
      <c r="J25" s="31" t="s">
        <v>120</v>
      </c>
      <c r="K25" s="31" t="s">
        <v>117</v>
      </c>
      <c r="L25" s="31" t="s">
        <v>117</v>
      </c>
      <c r="M25" s="31" t="s">
        <v>117</v>
      </c>
      <c r="N25" s="31" t="s">
        <v>117</v>
      </c>
      <c r="O25" s="100">
        <v>45912</v>
      </c>
      <c r="P25" s="92"/>
    </row>
    <row r="26" spans="1:16" ht="94.5" x14ac:dyDescent="0.4">
      <c r="A26" s="1">
        <v>25</v>
      </c>
      <c r="B26" s="6" t="s">
        <v>115</v>
      </c>
      <c r="C26" s="6" t="s">
        <v>150</v>
      </c>
      <c r="D26" s="1" t="s">
        <v>485</v>
      </c>
      <c r="E26" s="1" t="s">
        <v>117</v>
      </c>
      <c r="F26" s="1" t="s">
        <v>118</v>
      </c>
      <c r="G26" s="1" t="s">
        <v>119</v>
      </c>
      <c r="H26" s="1" t="s">
        <v>119</v>
      </c>
      <c r="I26" s="1">
        <v>1</v>
      </c>
      <c r="J26" s="6" t="s">
        <v>120</v>
      </c>
      <c r="K26" s="6" t="s">
        <v>120</v>
      </c>
      <c r="L26" s="6" t="s">
        <v>121</v>
      </c>
      <c r="M26" s="6" t="s">
        <v>122</v>
      </c>
      <c r="N26" s="6">
        <v>1</v>
      </c>
      <c r="O26" s="92">
        <v>45812</v>
      </c>
      <c r="P26" s="91" t="s">
        <v>151</v>
      </c>
    </row>
    <row r="27" spans="1:16" ht="94.5" x14ac:dyDescent="0.4">
      <c r="A27" s="1">
        <v>26</v>
      </c>
      <c r="B27" s="6" t="s">
        <v>115</v>
      </c>
      <c r="C27" s="6" t="s">
        <v>152</v>
      </c>
      <c r="D27" s="1" t="s">
        <v>491</v>
      </c>
      <c r="E27" s="1" t="s">
        <v>117</v>
      </c>
      <c r="F27" s="1" t="s">
        <v>119</v>
      </c>
      <c r="G27" s="1" t="s">
        <v>119</v>
      </c>
      <c r="H27" s="1" t="s">
        <v>118</v>
      </c>
      <c r="I27" s="1">
        <v>1</v>
      </c>
      <c r="J27" s="6" t="s">
        <v>120</v>
      </c>
      <c r="K27" s="6" t="s">
        <v>120</v>
      </c>
      <c r="L27" s="6" t="s">
        <v>121</v>
      </c>
      <c r="M27" s="6" t="s">
        <v>122</v>
      </c>
      <c r="N27" s="6">
        <v>1</v>
      </c>
      <c r="O27" s="92">
        <v>45812</v>
      </c>
      <c r="P27" s="91" t="s">
        <v>151</v>
      </c>
    </row>
    <row r="28" spans="1:16" ht="94.5" x14ac:dyDescent="0.4">
      <c r="A28" s="1">
        <v>27</v>
      </c>
      <c r="B28" s="6" t="s">
        <v>115</v>
      </c>
      <c r="C28" s="6" t="s">
        <v>153</v>
      </c>
      <c r="D28" s="1" t="s">
        <v>486</v>
      </c>
      <c r="E28" s="1" t="s">
        <v>117</v>
      </c>
      <c r="F28" s="1" t="s">
        <v>117</v>
      </c>
      <c r="G28" s="1" t="s">
        <v>118</v>
      </c>
      <c r="H28" s="1" t="s">
        <v>119</v>
      </c>
      <c r="I28" s="1">
        <v>1</v>
      </c>
      <c r="J28" s="6" t="s">
        <v>120</v>
      </c>
      <c r="K28" s="6" t="s">
        <v>120</v>
      </c>
      <c r="L28" s="6" t="s">
        <v>121</v>
      </c>
      <c r="M28" s="6" t="s">
        <v>122</v>
      </c>
      <c r="N28" s="6">
        <v>1</v>
      </c>
      <c r="O28" s="92">
        <v>45813</v>
      </c>
      <c r="P28" s="91" t="s">
        <v>154</v>
      </c>
    </row>
    <row r="29" spans="1:16" ht="47.25" x14ac:dyDescent="0.4">
      <c r="A29" s="1">
        <v>28</v>
      </c>
      <c r="B29" s="6" t="s">
        <v>115</v>
      </c>
      <c r="C29" s="6" t="s">
        <v>155</v>
      </c>
      <c r="D29" s="1" t="s">
        <v>487</v>
      </c>
      <c r="E29" s="1" t="s">
        <v>117</v>
      </c>
      <c r="F29" s="1" t="s">
        <v>117</v>
      </c>
      <c r="G29" s="1" t="s">
        <v>118</v>
      </c>
      <c r="H29" s="1" t="s">
        <v>119</v>
      </c>
      <c r="I29" s="1">
        <v>2</v>
      </c>
      <c r="J29" s="6" t="s">
        <v>117</v>
      </c>
      <c r="K29" s="6" t="s">
        <v>117</v>
      </c>
      <c r="L29" s="6" t="s">
        <v>117</v>
      </c>
      <c r="M29" s="6" t="s">
        <v>117</v>
      </c>
      <c r="N29" s="6" t="s">
        <v>117</v>
      </c>
      <c r="O29" s="92" t="s">
        <v>156</v>
      </c>
      <c r="P29" s="91" t="s">
        <v>157</v>
      </c>
    </row>
    <row r="30" spans="1:16" ht="47.25" x14ac:dyDescent="0.4">
      <c r="A30" s="1">
        <v>29</v>
      </c>
      <c r="B30" s="6" t="s">
        <v>115</v>
      </c>
      <c r="C30" s="6" t="s">
        <v>158</v>
      </c>
      <c r="D30" s="1" t="s">
        <v>488</v>
      </c>
      <c r="E30" s="1" t="s">
        <v>117</v>
      </c>
      <c r="F30" s="1" t="s">
        <v>117</v>
      </c>
      <c r="G30" s="1" t="s">
        <v>119</v>
      </c>
      <c r="H30" s="1" t="s">
        <v>118</v>
      </c>
      <c r="I30" s="1">
        <v>2</v>
      </c>
      <c r="J30" s="6" t="s">
        <v>117</v>
      </c>
      <c r="K30" s="6" t="s">
        <v>117</v>
      </c>
      <c r="L30" s="6" t="s">
        <v>117</v>
      </c>
      <c r="M30" s="6" t="s">
        <v>117</v>
      </c>
      <c r="N30" s="6" t="s">
        <v>117</v>
      </c>
      <c r="O30" s="92" t="s">
        <v>156</v>
      </c>
      <c r="P30" s="91" t="s">
        <v>157</v>
      </c>
    </row>
    <row r="31" spans="1:16" ht="47.25" x14ac:dyDescent="0.4">
      <c r="A31" s="1">
        <v>30</v>
      </c>
      <c r="B31" s="6" t="s">
        <v>115</v>
      </c>
      <c r="C31" s="6" t="s">
        <v>159</v>
      </c>
      <c r="D31" s="1" t="s">
        <v>492</v>
      </c>
      <c r="E31" s="1" t="s">
        <v>117</v>
      </c>
      <c r="F31" s="1" t="s">
        <v>117</v>
      </c>
      <c r="G31" s="1" t="s">
        <v>119</v>
      </c>
      <c r="H31" s="1" t="s">
        <v>118</v>
      </c>
      <c r="I31" s="1">
        <v>4</v>
      </c>
      <c r="J31" s="6" t="s">
        <v>117</v>
      </c>
      <c r="K31" s="6" t="s">
        <v>117</v>
      </c>
      <c r="L31" s="6" t="s">
        <v>117</v>
      </c>
      <c r="M31" s="6" t="s">
        <v>117</v>
      </c>
      <c r="N31" s="6" t="s">
        <v>117</v>
      </c>
      <c r="O31" s="92" t="s">
        <v>156</v>
      </c>
      <c r="P31" s="91" t="s">
        <v>157</v>
      </c>
    </row>
    <row r="32" spans="1:16" x14ac:dyDescent="0.4">
      <c r="A32" s="1">
        <v>31</v>
      </c>
      <c r="B32" s="6" t="s">
        <v>160</v>
      </c>
      <c r="C32" s="6" t="s">
        <v>161</v>
      </c>
      <c r="D32" s="1" t="s">
        <v>162</v>
      </c>
      <c r="E32" s="1" t="s">
        <v>117</v>
      </c>
      <c r="F32" s="1" t="s">
        <v>117</v>
      </c>
      <c r="G32" s="1" t="s">
        <v>119</v>
      </c>
      <c r="H32" s="1" t="s">
        <v>118</v>
      </c>
      <c r="I32" s="1">
        <v>1</v>
      </c>
      <c r="J32" s="6" t="s">
        <v>117</v>
      </c>
      <c r="K32" s="6" t="s">
        <v>117</v>
      </c>
      <c r="L32" s="6" t="s">
        <v>117</v>
      </c>
      <c r="M32" s="6" t="s">
        <v>117</v>
      </c>
      <c r="N32" s="6" t="s">
        <v>117</v>
      </c>
      <c r="O32" s="92" t="s">
        <v>163</v>
      </c>
      <c r="P32" s="91"/>
    </row>
    <row r="33" spans="1:16" x14ac:dyDescent="0.4">
      <c r="A33" s="1">
        <v>32</v>
      </c>
      <c r="B33" s="6" t="s">
        <v>160</v>
      </c>
      <c r="C33" s="6" t="s">
        <v>164</v>
      </c>
      <c r="D33" s="1" t="s">
        <v>165</v>
      </c>
      <c r="E33" s="1" t="s">
        <v>117</v>
      </c>
      <c r="F33" s="1" t="s">
        <v>117</v>
      </c>
      <c r="G33" s="1" t="s">
        <v>118</v>
      </c>
      <c r="H33" s="1" t="s">
        <v>119</v>
      </c>
      <c r="I33" s="1">
        <v>1</v>
      </c>
      <c r="J33" s="6" t="s">
        <v>117</v>
      </c>
      <c r="K33" s="6" t="s">
        <v>117</v>
      </c>
      <c r="L33" s="6" t="s">
        <v>117</v>
      </c>
      <c r="M33" s="6" t="s">
        <v>117</v>
      </c>
      <c r="N33" s="6" t="s">
        <v>117</v>
      </c>
      <c r="O33" s="92" t="s">
        <v>163</v>
      </c>
      <c r="P33" s="91"/>
    </row>
    <row r="34" spans="1:16" s="95" customFormat="1" x14ac:dyDescent="0.4">
      <c r="A34" s="98">
        <v>33</v>
      </c>
      <c r="B34" s="31" t="s">
        <v>115</v>
      </c>
      <c r="C34" s="31" t="s">
        <v>438</v>
      </c>
      <c r="D34" s="98" t="s">
        <v>439</v>
      </c>
      <c r="E34" s="98" t="s">
        <v>117</v>
      </c>
      <c r="F34" s="98" t="s">
        <v>119</v>
      </c>
      <c r="G34" s="98" t="s">
        <v>118</v>
      </c>
      <c r="H34" s="98" t="s">
        <v>117</v>
      </c>
      <c r="I34" s="98">
        <v>2</v>
      </c>
      <c r="J34" s="31" t="s">
        <v>120</v>
      </c>
      <c r="K34" s="31" t="s">
        <v>117</v>
      </c>
      <c r="L34" s="31" t="s">
        <v>117</v>
      </c>
      <c r="M34" s="31" t="s">
        <v>117</v>
      </c>
      <c r="N34" s="31" t="s">
        <v>117</v>
      </c>
      <c r="O34" s="100">
        <v>45895</v>
      </c>
      <c r="P34" s="97"/>
    </row>
    <row r="35" spans="1:16" s="95" customFormat="1" x14ac:dyDescent="0.4">
      <c r="A35" s="98">
        <v>34</v>
      </c>
      <c r="B35" s="31" t="s">
        <v>115</v>
      </c>
      <c r="C35" s="31" t="s">
        <v>440</v>
      </c>
      <c r="D35" s="98" t="s">
        <v>441</v>
      </c>
      <c r="E35" s="98" t="s">
        <v>117</v>
      </c>
      <c r="F35" s="98" t="s">
        <v>118</v>
      </c>
      <c r="G35" s="98" t="s">
        <v>119</v>
      </c>
      <c r="H35" s="98" t="s">
        <v>117</v>
      </c>
      <c r="I35" s="98">
        <v>2</v>
      </c>
      <c r="J35" s="31" t="s">
        <v>120</v>
      </c>
      <c r="K35" s="31" t="s">
        <v>117</v>
      </c>
      <c r="L35" s="31" t="s">
        <v>117</v>
      </c>
      <c r="M35" s="31" t="s">
        <v>117</v>
      </c>
      <c r="N35" s="31" t="s">
        <v>117</v>
      </c>
      <c r="O35" s="100">
        <v>45895</v>
      </c>
      <c r="P35" s="97"/>
    </row>
    <row r="36" spans="1:16" s="95" customFormat="1" x14ac:dyDescent="0.4">
      <c r="A36" s="98">
        <v>35</v>
      </c>
      <c r="B36" s="31" t="s">
        <v>115</v>
      </c>
      <c r="C36" s="31" t="s">
        <v>442</v>
      </c>
      <c r="D36" s="98" t="s">
        <v>443</v>
      </c>
      <c r="E36" s="98" t="s">
        <v>117</v>
      </c>
      <c r="F36" s="98" t="s">
        <v>118</v>
      </c>
      <c r="G36" s="98" t="s">
        <v>117</v>
      </c>
      <c r="H36" s="98" t="s">
        <v>119</v>
      </c>
      <c r="I36" s="98">
        <v>2</v>
      </c>
      <c r="J36" s="31" t="s">
        <v>120</v>
      </c>
      <c r="K36" s="31" t="s">
        <v>117</v>
      </c>
      <c r="L36" s="31" t="s">
        <v>117</v>
      </c>
      <c r="M36" s="31" t="s">
        <v>117</v>
      </c>
      <c r="N36" s="31" t="s">
        <v>117</v>
      </c>
      <c r="O36" s="100">
        <v>45895</v>
      </c>
      <c r="P36" s="97"/>
    </row>
    <row r="37" spans="1:16" x14ac:dyDescent="0.4">
      <c r="A37" s="1">
        <v>36</v>
      </c>
      <c r="B37" s="6" t="s">
        <v>449</v>
      </c>
      <c r="C37" s="6" t="s">
        <v>450</v>
      </c>
      <c r="D37" s="1" t="s">
        <v>489</v>
      </c>
      <c r="E37" s="96" t="s">
        <v>117</v>
      </c>
      <c r="F37" s="96" t="s">
        <v>117</v>
      </c>
      <c r="G37" s="96" t="s">
        <v>118</v>
      </c>
      <c r="H37" s="96" t="s">
        <v>119</v>
      </c>
      <c r="I37" s="1">
        <v>1</v>
      </c>
      <c r="J37" s="6" t="s">
        <v>120</v>
      </c>
      <c r="K37" s="31" t="s">
        <v>117</v>
      </c>
      <c r="L37" s="31" t="s">
        <v>117</v>
      </c>
      <c r="M37" s="31" t="s">
        <v>117</v>
      </c>
      <c r="N37" s="31" t="s">
        <v>117</v>
      </c>
      <c r="O37" s="92">
        <v>45940</v>
      </c>
      <c r="P37" s="91"/>
    </row>
    <row r="38" spans="1:16" s="6" customFormat="1" ht="15.75" x14ac:dyDescent="0.4">
      <c r="A38" s="1">
        <v>37</v>
      </c>
      <c r="B38" s="6" t="s">
        <v>142</v>
      </c>
      <c r="C38" s="6" t="s">
        <v>451</v>
      </c>
      <c r="D38" s="1" t="s">
        <v>452</v>
      </c>
      <c r="E38" s="1" t="s">
        <v>117</v>
      </c>
      <c r="F38" s="1" t="s">
        <v>119</v>
      </c>
      <c r="G38" s="1" t="s">
        <v>118</v>
      </c>
      <c r="H38" s="1" t="s">
        <v>117</v>
      </c>
      <c r="I38" s="1">
        <v>4</v>
      </c>
      <c r="J38" s="6" t="s">
        <v>117</v>
      </c>
      <c r="K38" s="31" t="s">
        <v>117</v>
      </c>
      <c r="L38" s="31" t="s">
        <v>117</v>
      </c>
      <c r="M38" s="31" t="s">
        <v>117</v>
      </c>
      <c r="N38" s="31" t="s">
        <v>117</v>
      </c>
      <c r="O38" s="92">
        <v>45971</v>
      </c>
    </row>
    <row r="39" spans="1:16" s="6" customFormat="1" ht="15.75" x14ac:dyDescent="0.4">
      <c r="A39" s="1">
        <v>38</v>
      </c>
      <c r="B39" s="6" t="s">
        <v>142</v>
      </c>
      <c r="C39" s="6" t="s">
        <v>453</v>
      </c>
      <c r="D39" s="1" t="s">
        <v>454</v>
      </c>
      <c r="E39" s="1" t="s">
        <v>117</v>
      </c>
      <c r="F39" s="1" t="s">
        <v>119</v>
      </c>
      <c r="G39" s="1" t="s">
        <v>118</v>
      </c>
      <c r="H39" s="1" t="s">
        <v>117</v>
      </c>
      <c r="I39" s="1">
        <v>4</v>
      </c>
      <c r="J39" s="6" t="s">
        <v>117</v>
      </c>
      <c r="K39" s="31" t="s">
        <v>117</v>
      </c>
      <c r="L39" s="31" t="s">
        <v>117</v>
      </c>
      <c r="M39" s="31" t="s">
        <v>117</v>
      </c>
      <c r="N39" s="31" t="s">
        <v>117</v>
      </c>
      <c r="O39" s="92">
        <v>45971</v>
      </c>
    </row>
    <row r="40" spans="1:16" s="6" customFormat="1" ht="15.75" x14ac:dyDescent="0.4">
      <c r="A40" s="1">
        <v>39</v>
      </c>
      <c r="B40" s="6" t="s">
        <v>142</v>
      </c>
      <c r="C40" s="6" t="s">
        <v>455</v>
      </c>
      <c r="D40" s="1" t="s">
        <v>456</v>
      </c>
      <c r="E40" s="1" t="s">
        <v>117</v>
      </c>
      <c r="F40" s="1" t="s">
        <v>119</v>
      </c>
      <c r="G40" s="1" t="s">
        <v>118</v>
      </c>
      <c r="H40" s="1" t="s">
        <v>117</v>
      </c>
      <c r="I40" s="1">
        <v>4</v>
      </c>
      <c r="J40" s="6" t="s">
        <v>117</v>
      </c>
      <c r="K40" s="31" t="s">
        <v>117</v>
      </c>
      <c r="L40" s="31" t="s">
        <v>117</v>
      </c>
      <c r="M40" s="31" t="s">
        <v>117</v>
      </c>
      <c r="N40" s="31" t="s">
        <v>117</v>
      </c>
      <c r="O40" s="92">
        <v>45971</v>
      </c>
    </row>
    <row r="41" spans="1:16" s="6" customFormat="1" ht="15.75" x14ac:dyDescent="0.4">
      <c r="A41" s="1">
        <v>40</v>
      </c>
      <c r="B41" s="6" t="s">
        <v>142</v>
      </c>
      <c r="C41" s="6" t="s">
        <v>457</v>
      </c>
      <c r="D41" s="1" t="s">
        <v>458</v>
      </c>
      <c r="E41" s="1" t="s">
        <v>117</v>
      </c>
      <c r="F41" s="1" t="s">
        <v>119</v>
      </c>
      <c r="G41" s="1" t="s">
        <v>118</v>
      </c>
      <c r="H41" s="1" t="s">
        <v>117</v>
      </c>
      <c r="I41" s="1">
        <v>4</v>
      </c>
      <c r="J41" s="6" t="s">
        <v>117</v>
      </c>
      <c r="K41" s="31" t="s">
        <v>117</v>
      </c>
      <c r="L41" s="31" t="s">
        <v>117</v>
      </c>
      <c r="M41" s="31" t="s">
        <v>117</v>
      </c>
      <c r="N41" s="31" t="s">
        <v>117</v>
      </c>
      <c r="O41" s="92">
        <v>45971</v>
      </c>
    </row>
    <row r="42" spans="1:16" s="6" customFormat="1" ht="15.75" x14ac:dyDescent="0.4">
      <c r="A42" s="1">
        <v>41</v>
      </c>
      <c r="B42" s="6" t="s">
        <v>142</v>
      </c>
      <c r="C42" s="6" t="s">
        <v>459</v>
      </c>
      <c r="D42" s="1" t="s">
        <v>460</v>
      </c>
      <c r="E42" s="1" t="s">
        <v>117</v>
      </c>
      <c r="F42" s="1" t="s">
        <v>119</v>
      </c>
      <c r="G42" s="1" t="s">
        <v>118</v>
      </c>
      <c r="H42" s="1" t="s">
        <v>117</v>
      </c>
      <c r="I42" s="1">
        <v>4</v>
      </c>
      <c r="J42" s="6" t="s">
        <v>117</v>
      </c>
      <c r="K42" s="31" t="s">
        <v>117</v>
      </c>
      <c r="L42" s="31" t="s">
        <v>117</v>
      </c>
      <c r="M42" s="31" t="s">
        <v>117</v>
      </c>
      <c r="N42" s="31" t="s">
        <v>117</v>
      </c>
      <c r="O42" s="92">
        <v>45971</v>
      </c>
    </row>
    <row r="43" spans="1:16" s="6" customFormat="1" ht="15.75" x14ac:dyDescent="0.4">
      <c r="A43" s="1">
        <v>42</v>
      </c>
      <c r="B43" s="6" t="s">
        <v>142</v>
      </c>
      <c r="C43" s="6" t="s">
        <v>461</v>
      </c>
      <c r="D43" s="1" t="s">
        <v>462</v>
      </c>
      <c r="E43" s="1" t="s">
        <v>117</v>
      </c>
      <c r="F43" s="1" t="s">
        <v>119</v>
      </c>
      <c r="G43" s="1" t="s">
        <v>118</v>
      </c>
      <c r="H43" s="1" t="s">
        <v>117</v>
      </c>
      <c r="I43" s="1">
        <v>4</v>
      </c>
      <c r="J43" s="6" t="s">
        <v>117</v>
      </c>
      <c r="K43" s="31" t="s">
        <v>117</v>
      </c>
      <c r="L43" s="31" t="s">
        <v>117</v>
      </c>
      <c r="M43" s="31" t="s">
        <v>117</v>
      </c>
      <c r="N43" s="31" t="s">
        <v>117</v>
      </c>
      <c r="O43" s="92">
        <v>45971</v>
      </c>
    </row>
    <row r="44" spans="1:16" s="6" customFormat="1" ht="15.75" x14ac:dyDescent="0.4">
      <c r="A44" s="1">
        <v>43</v>
      </c>
      <c r="B44" s="6" t="s">
        <v>142</v>
      </c>
      <c r="C44" s="6" t="s">
        <v>463</v>
      </c>
      <c r="D44" s="1" t="s">
        <v>464</v>
      </c>
      <c r="E44" s="1" t="s">
        <v>117</v>
      </c>
      <c r="F44" s="1" t="s">
        <v>119</v>
      </c>
      <c r="G44" s="1" t="s">
        <v>118</v>
      </c>
      <c r="H44" s="1" t="s">
        <v>117</v>
      </c>
      <c r="I44" s="1">
        <v>4</v>
      </c>
      <c r="J44" s="6" t="s">
        <v>117</v>
      </c>
      <c r="K44" s="31" t="s">
        <v>117</v>
      </c>
      <c r="L44" s="31" t="s">
        <v>117</v>
      </c>
      <c r="M44" s="31" t="s">
        <v>117</v>
      </c>
      <c r="N44" s="31" t="s">
        <v>117</v>
      </c>
      <c r="O44" s="92">
        <v>45971</v>
      </c>
    </row>
    <row r="45" spans="1:16" s="6" customFormat="1" ht="15.75" x14ac:dyDescent="0.4">
      <c r="A45" s="1">
        <v>44</v>
      </c>
      <c r="B45" s="6" t="s">
        <v>142</v>
      </c>
      <c r="C45" s="6" t="s">
        <v>465</v>
      </c>
      <c r="D45" s="1" t="s">
        <v>466</v>
      </c>
      <c r="E45" s="1" t="s">
        <v>117</v>
      </c>
      <c r="F45" s="1" t="s">
        <v>119</v>
      </c>
      <c r="G45" s="1" t="s">
        <v>118</v>
      </c>
      <c r="H45" s="1" t="s">
        <v>117</v>
      </c>
      <c r="I45" s="1">
        <v>4</v>
      </c>
      <c r="J45" s="6" t="s">
        <v>117</v>
      </c>
      <c r="K45" s="31" t="s">
        <v>117</v>
      </c>
      <c r="L45" s="31" t="s">
        <v>117</v>
      </c>
      <c r="M45" s="31" t="s">
        <v>117</v>
      </c>
      <c r="N45" s="31" t="s">
        <v>117</v>
      </c>
      <c r="O45" s="92">
        <v>45971</v>
      </c>
    </row>
    <row r="46" spans="1:16" s="6" customFormat="1" ht="15.75" x14ac:dyDescent="0.4">
      <c r="A46" s="1">
        <v>45</v>
      </c>
      <c r="B46" s="6" t="s">
        <v>142</v>
      </c>
      <c r="C46" s="6" t="s">
        <v>500</v>
      </c>
      <c r="D46" s="1" t="s">
        <v>501</v>
      </c>
      <c r="E46" s="1" t="s">
        <v>117</v>
      </c>
      <c r="F46" s="1" t="s">
        <v>118</v>
      </c>
      <c r="G46" s="1" t="s">
        <v>119</v>
      </c>
      <c r="H46" s="1" t="s">
        <v>117</v>
      </c>
      <c r="I46" s="1">
        <v>8</v>
      </c>
      <c r="J46" s="6" t="s">
        <v>117</v>
      </c>
      <c r="K46" s="6" t="s">
        <v>117</v>
      </c>
      <c r="L46" s="6" t="s">
        <v>117</v>
      </c>
      <c r="M46" s="6" t="s">
        <v>117</v>
      </c>
      <c r="N46" s="6" t="s">
        <v>117</v>
      </c>
      <c r="O46" s="92">
        <v>45995</v>
      </c>
    </row>
    <row r="47" spans="1:16" s="6" customFormat="1" ht="15.75" x14ac:dyDescent="0.4">
      <c r="A47" s="98">
        <v>46</v>
      </c>
      <c r="B47" s="31" t="s">
        <v>506</v>
      </c>
      <c r="C47" s="31" t="s">
        <v>507</v>
      </c>
      <c r="D47" s="98" t="s">
        <v>503</v>
      </c>
      <c r="E47" s="98" t="s">
        <v>117</v>
      </c>
      <c r="F47" s="98" t="s">
        <v>119</v>
      </c>
      <c r="G47" s="98" t="s">
        <v>118</v>
      </c>
      <c r="H47" s="98" t="s">
        <v>117</v>
      </c>
      <c r="I47" s="98">
        <v>8</v>
      </c>
      <c r="J47" s="31" t="s">
        <v>120</v>
      </c>
      <c r="K47" s="31" t="s">
        <v>117</v>
      </c>
      <c r="L47" s="31" t="s">
        <v>117</v>
      </c>
      <c r="M47" s="31" t="s">
        <v>117</v>
      </c>
      <c r="N47" s="31" t="s">
        <v>117</v>
      </c>
      <c r="O47" s="100">
        <v>46007</v>
      </c>
    </row>
    <row r="48" spans="1:16" s="6" customFormat="1" ht="15.75" x14ac:dyDescent="0.4">
      <c r="A48" s="98">
        <v>47</v>
      </c>
      <c r="B48" s="31" t="s">
        <v>506</v>
      </c>
      <c r="C48" s="31" t="s">
        <v>502</v>
      </c>
      <c r="D48" s="98" t="s">
        <v>504</v>
      </c>
      <c r="E48" s="98" t="s">
        <v>117</v>
      </c>
      <c r="F48" s="98" t="s">
        <v>119</v>
      </c>
      <c r="G48" s="98" t="s">
        <v>118</v>
      </c>
      <c r="H48" s="98" t="s">
        <v>117</v>
      </c>
      <c r="I48" s="98">
        <v>4</v>
      </c>
      <c r="J48" s="31" t="s">
        <v>120</v>
      </c>
      <c r="K48" s="31" t="s">
        <v>117</v>
      </c>
      <c r="L48" s="31" t="s">
        <v>117</v>
      </c>
      <c r="M48" s="31" t="s">
        <v>117</v>
      </c>
      <c r="N48" s="31" t="s">
        <v>117</v>
      </c>
      <c r="O48" s="100">
        <v>46007</v>
      </c>
    </row>
    <row r="49" spans="1:15" s="6" customFormat="1" ht="15.75" x14ac:dyDescent="0.4">
      <c r="A49" s="98">
        <v>48</v>
      </c>
      <c r="B49" s="31" t="s">
        <v>506</v>
      </c>
      <c r="C49" s="31" t="s">
        <v>508</v>
      </c>
      <c r="D49" s="98" t="s">
        <v>505</v>
      </c>
      <c r="E49" s="98" t="s">
        <v>117</v>
      </c>
      <c r="F49" s="98" t="s">
        <v>118</v>
      </c>
      <c r="G49" s="98" t="s">
        <v>119</v>
      </c>
      <c r="H49" s="98" t="s">
        <v>117</v>
      </c>
      <c r="I49" s="98">
        <v>8</v>
      </c>
      <c r="J49" s="31" t="s">
        <v>120</v>
      </c>
      <c r="K49" s="31" t="s">
        <v>117</v>
      </c>
      <c r="L49" s="31" t="s">
        <v>117</v>
      </c>
      <c r="M49" s="31" t="s">
        <v>117</v>
      </c>
      <c r="N49" s="31" t="s">
        <v>117</v>
      </c>
      <c r="O49" s="100">
        <v>46007</v>
      </c>
    </row>
    <row r="50" spans="1:15" s="6" customFormat="1" ht="15.75" x14ac:dyDescent="0.4">
      <c r="A50" s="98">
        <v>49</v>
      </c>
      <c r="B50" s="31" t="s">
        <v>115</v>
      </c>
      <c r="C50" s="31" t="s">
        <v>509</v>
      </c>
      <c r="D50" s="98" t="s">
        <v>510</v>
      </c>
      <c r="E50" s="98" t="s">
        <v>117</v>
      </c>
      <c r="F50" s="98" t="s">
        <v>117</v>
      </c>
      <c r="G50" s="98" t="s">
        <v>119</v>
      </c>
      <c r="H50" s="98" t="s">
        <v>118</v>
      </c>
      <c r="I50" s="98">
        <v>2</v>
      </c>
      <c r="J50" s="31" t="s">
        <v>120</v>
      </c>
      <c r="K50" s="31" t="s">
        <v>117</v>
      </c>
      <c r="L50" s="31" t="s">
        <v>117</v>
      </c>
      <c r="M50" s="31" t="s">
        <v>117</v>
      </c>
      <c r="N50" s="31" t="s">
        <v>117</v>
      </c>
      <c r="O50" s="100">
        <v>46031</v>
      </c>
    </row>
    <row r="51" spans="1:15" s="6" customFormat="1" ht="15.75" x14ac:dyDescent="0.4">
      <c r="A51" s="98">
        <v>50</v>
      </c>
      <c r="B51" s="31" t="s">
        <v>115</v>
      </c>
      <c r="C51" s="31" t="s">
        <v>511</v>
      </c>
      <c r="D51" s="98" t="s">
        <v>512</v>
      </c>
      <c r="E51" s="98" t="s">
        <v>117</v>
      </c>
      <c r="F51" s="98" t="s">
        <v>119</v>
      </c>
      <c r="G51" s="98" t="s">
        <v>117</v>
      </c>
      <c r="H51" s="98" t="s">
        <v>118</v>
      </c>
      <c r="I51" s="98">
        <v>1</v>
      </c>
      <c r="J51" s="31" t="s">
        <v>120</v>
      </c>
      <c r="K51" s="31" t="s">
        <v>117</v>
      </c>
      <c r="L51" s="31" t="s">
        <v>117</v>
      </c>
      <c r="M51" s="31" t="s">
        <v>117</v>
      </c>
      <c r="N51" s="31" t="s">
        <v>117</v>
      </c>
      <c r="O51" s="100">
        <v>46031</v>
      </c>
    </row>
    <row r="52" spans="1:15" s="6" customFormat="1" ht="15.75" x14ac:dyDescent="0.4">
      <c r="A52" s="98">
        <v>51</v>
      </c>
      <c r="B52" s="31" t="s">
        <v>115</v>
      </c>
      <c r="C52" s="31" t="s">
        <v>513</v>
      </c>
      <c r="D52" s="98" t="s">
        <v>514</v>
      </c>
      <c r="E52" s="98" t="s">
        <v>117</v>
      </c>
      <c r="F52" s="98" t="s">
        <v>119</v>
      </c>
      <c r="G52" s="98" t="s">
        <v>117</v>
      </c>
      <c r="H52" s="98" t="s">
        <v>118</v>
      </c>
      <c r="I52" s="98">
        <v>1</v>
      </c>
      <c r="J52" s="31" t="s">
        <v>120</v>
      </c>
      <c r="K52" s="31" t="s">
        <v>117</v>
      </c>
      <c r="L52" s="31" t="s">
        <v>117</v>
      </c>
      <c r="M52" s="31" t="s">
        <v>117</v>
      </c>
      <c r="N52" s="31" t="s">
        <v>117</v>
      </c>
      <c r="O52" s="100">
        <v>46072</v>
      </c>
    </row>
    <row r="53" spans="1:15" s="6" customFormat="1" ht="15.75" x14ac:dyDescent="0.4">
      <c r="A53" s="98">
        <v>52</v>
      </c>
      <c r="B53" s="31" t="s">
        <v>115</v>
      </c>
      <c r="C53" s="31" t="s">
        <v>515</v>
      </c>
      <c r="D53" s="98" t="s">
        <v>516</v>
      </c>
      <c r="E53" s="98" t="s">
        <v>117</v>
      </c>
      <c r="F53" s="98" t="s">
        <v>118</v>
      </c>
      <c r="G53" s="98" t="s">
        <v>117</v>
      </c>
      <c r="H53" s="98" t="s">
        <v>119</v>
      </c>
      <c r="I53" s="98">
        <v>1</v>
      </c>
      <c r="J53" s="31" t="s">
        <v>117</v>
      </c>
      <c r="K53" s="31" t="s">
        <v>117</v>
      </c>
      <c r="L53" s="31" t="s">
        <v>117</v>
      </c>
      <c r="M53" s="31" t="s">
        <v>117</v>
      </c>
      <c r="N53" s="31" t="s">
        <v>117</v>
      </c>
      <c r="O53" s="100">
        <v>46072</v>
      </c>
    </row>
    <row r="54" spans="1:15" s="6" customFormat="1" ht="15.75" x14ac:dyDescent="0.4">
      <c r="A54" s="98">
        <v>53</v>
      </c>
      <c r="B54" s="31" t="s">
        <v>115</v>
      </c>
      <c r="C54" s="31" t="s">
        <v>517</v>
      </c>
      <c r="D54" s="98" t="s">
        <v>518</v>
      </c>
      <c r="E54" s="98" t="s">
        <v>117</v>
      </c>
      <c r="F54" s="98" t="s">
        <v>117</v>
      </c>
      <c r="G54" s="98" t="s">
        <v>119</v>
      </c>
      <c r="H54" s="98" t="s">
        <v>118</v>
      </c>
      <c r="I54" s="98">
        <v>1</v>
      </c>
      <c r="J54" s="31" t="s">
        <v>117</v>
      </c>
      <c r="K54" s="31" t="s">
        <v>117</v>
      </c>
      <c r="L54" s="31" t="s">
        <v>117</v>
      </c>
      <c r="M54" s="31" t="s">
        <v>117</v>
      </c>
      <c r="N54" s="31" t="s">
        <v>117</v>
      </c>
      <c r="O54" s="100">
        <v>46076</v>
      </c>
    </row>
    <row r="55" spans="1:15" s="6" customFormat="1" ht="15.75" x14ac:dyDescent="0.4">
      <c r="A55" s="98">
        <v>54</v>
      </c>
      <c r="B55" s="31" t="s">
        <v>115</v>
      </c>
      <c r="C55" s="31" t="s">
        <v>519</v>
      </c>
      <c r="D55" s="98" t="s">
        <v>520</v>
      </c>
      <c r="E55" s="98" t="s">
        <v>117</v>
      </c>
      <c r="F55" s="98" t="s">
        <v>117</v>
      </c>
      <c r="G55" s="98" t="s">
        <v>119</v>
      </c>
      <c r="H55" s="98" t="s">
        <v>118</v>
      </c>
      <c r="I55" s="98">
        <v>1</v>
      </c>
      <c r="J55" s="31" t="s">
        <v>117</v>
      </c>
      <c r="K55" s="31" t="s">
        <v>117</v>
      </c>
      <c r="L55" s="31" t="s">
        <v>117</v>
      </c>
      <c r="M55" s="31" t="s">
        <v>117</v>
      </c>
      <c r="N55" s="31" t="s">
        <v>117</v>
      </c>
      <c r="O55" s="100">
        <v>46076</v>
      </c>
    </row>
    <row r="56" spans="1:15" x14ac:dyDescent="0.4">
      <c r="A56" s="98">
        <v>55</v>
      </c>
      <c r="B56" s="31" t="s">
        <v>521</v>
      </c>
      <c r="C56" s="31" t="s">
        <v>522</v>
      </c>
      <c r="D56" s="98" t="s">
        <v>523</v>
      </c>
      <c r="E56" s="101" t="s">
        <v>117</v>
      </c>
      <c r="F56" s="101" t="s">
        <v>118</v>
      </c>
      <c r="G56" s="101" t="s">
        <v>117</v>
      </c>
      <c r="H56" s="101" t="s">
        <v>119</v>
      </c>
      <c r="I56" s="101">
        <v>6</v>
      </c>
      <c r="J56" s="18" t="s">
        <v>524</v>
      </c>
      <c r="K56" s="31" t="s">
        <v>117</v>
      </c>
      <c r="L56" s="31" t="s">
        <v>117</v>
      </c>
      <c r="M56" s="31" t="s">
        <v>117</v>
      </c>
      <c r="N56" s="31" t="s">
        <v>117</v>
      </c>
      <c r="O56" s="100">
        <v>46093</v>
      </c>
    </row>
    <row r="57" spans="1:15" x14ac:dyDescent="0.4">
      <c r="A57" s="1"/>
      <c r="B57" s="6"/>
      <c r="C57" s="6"/>
      <c r="D57" s="1"/>
      <c r="E57" s="55"/>
      <c r="F57" s="55"/>
      <c r="G57" s="55"/>
      <c r="H57" s="55"/>
      <c r="I57" s="55"/>
    </row>
    <row r="58" spans="1:15" x14ac:dyDescent="0.4">
      <c r="A58" s="1"/>
      <c r="B58" s="6"/>
      <c r="C58" s="6"/>
      <c r="D58" s="1"/>
      <c r="E58" s="55"/>
      <c r="F58" s="55"/>
      <c r="G58" s="55"/>
      <c r="H58" s="55"/>
      <c r="I58" s="55"/>
    </row>
    <row r="59" spans="1:15" x14ac:dyDescent="0.4">
      <c r="A59" s="1"/>
      <c r="B59" s="6"/>
      <c r="C59" s="6"/>
      <c r="D59" s="1"/>
      <c r="E59" s="55"/>
      <c r="F59" s="55"/>
      <c r="G59" s="55"/>
      <c r="H59" s="55"/>
      <c r="I59" s="55"/>
    </row>
    <row r="60" spans="1:15" x14ac:dyDescent="0.4">
      <c r="A60" s="1"/>
      <c r="B60" s="6"/>
      <c r="C60" s="6"/>
      <c r="D60" s="1"/>
      <c r="E60" s="55"/>
      <c r="F60" s="55"/>
      <c r="G60" s="55"/>
      <c r="H60" s="55"/>
      <c r="I60" s="55"/>
    </row>
    <row r="61" spans="1:15" x14ac:dyDescent="0.4">
      <c r="A61" s="1"/>
      <c r="B61" s="6"/>
      <c r="C61" s="6"/>
      <c r="D61" s="1"/>
      <c r="E61" s="55"/>
      <c r="F61" s="55"/>
      <c r="G61" s="55"/>
      <c r="H61" s="55"/>
      <c r="I61" s="55"/>
    </row>
    <row r="62" spans="1:15" x14ac:dyDescent="0.4">
      <c r="A62" s="1"/>
      <c r="B62" s="6"/>
      <c r="C62" s="6"/>
      <c r="D62" s="1"/>
      <c r="E62" s="55"/>
      <c r="F62" s="55"/>
      <c r="G62" s="55"/>
      <c r="H62" s="55"/>
      <c r="I62" s="55"/>
    </row>
    <row r="63" spans="1:15" x14ac:dyDescent="0.4">
      <c r="A63" s="1"/>
      <c r="B63" s="6"/>
      <c r="C63" s="6"/>
      <c r="D63" s="1"/>
      <c r="E63" s="55"/>
      <c r="F63" s="55"/>
      <c r="G63" s="55"/>
      <c r="H63" s="55"/>
      <c r="I63" s="55"/>
    </row>
    <row r="64" spans="1:15" x14ac:dyDescent="0.4">
      <c r="A64" s="1"/>
      <c r="B64" s="6"/>
      <c r="C64" s="6"/>
      <c r="D64" s="1"/>
      <c r="E64" s="55"/>
      <c r="F64" s="55"/>
      <c r="G64" s="55"/>
      <c r="H64" s="55"/>
      <c r="I64" s="55"/>
    </row>
    <row r="65" spans="1:9" x14ac:dyDescent="0.4">
      <c r="A65" s="1"/>
      <c r="B65" s="6"/>
      <c r="C65" s="6"/>
      <c r="D65" s="1"/>
      <c r="E65" s="55"/>
      <c r="F65" s="55"/>
      <c r="G65" s="55"/>
      <c r="H65" s="55"/>
      <c r="I65" s="55"/>
    </row>
    <row r="66" spans="1:9" x14ac:dyDescent="0.4">
      <c r="A66" s="1"/>
      <c r="B66" s="6"/>
      <c r="C66" s="6"/>
      <c r="D66" s="1"/>
      <c r="E66" s="55"/>
      <c r="F66" s="55"/>
      <c r="G66" s="55"/>
      <c r="H66" s="55"/>
      <c r="I66" s="55"/>
    </row>
    <row r="67" spans="1:9" x14ac:dyDescent="0.4">
      <c r="A67" s="1"/>
      <c r="B67" s="6"/>
      <c r="C67" s="6"/>
      <c r="D67" s="1"/>
      <c r="E67" s="55"/>
      <c r="F67" s="55"/>
      <c r="G67" s="55"/>
      <c r="H67" s="55"/>
      <c r="I67" s="55"/>
    </row>
    <row r="68" spans="1:9" x14ac:dyDescent="0.4">
      <c r="A68" s="1"/>
      <c r="B68" s="6"/>
      <c r="C68" s="6"/>
      <c r="D68" s="1"/>
      <c r="E68" s="55"/>
      <c r="F68" s="55"/>
      <c r="G68" s="55"/>
      <c r="H68" s="55"/>
      <c r="I68" s="55"/>
    </row>
    <row r="69" spans="1:9" x14ac:dyDescent="0.4">
      <c r="A69" s="1"/>
      <c r="B69" s="6"/>
      <c r="C69" s="6"/>
      <c r="D69" s="1"/>
      <c r="E69" s="55"/>
      <c r="F69" s="55"/>
      <c r="G69" s="55"/>
      <c r="H69" s="55"/>
      <c r="I69" s="55"/>
    </row>
    <row r="70" spans="1:9" x14ac:dyDescent="0.4">
      <c r="A70" s="55"/>
      <c r="D70" s="55"/>
      <c r="E70" s="55"/>
      <c r="F70" s="55"/>
      <c r="G70" s="55"/>
      <c r="H70" s="55"/>
      <c r="I70" s="55"/>
    </row>
    <row r="71" spans="1:9" x14ac:dyDescent="0.4">
      <c r="A71" s="55"/>
      <c r="D71" s="55"/>
      <c r="E71" s="55"/>
      <c r="F71" s="55"/>
      <c r="G71" s="55"/>
      <c r="H71" s="55"/>
      <c r="I71" s="55"/>
    </row>
    <row r="72" spans="1:9" x14ac:dyDescent="0.4">
      <c r="A72" s="55"/>
      <c r="D72" s="55"/>
      <c r="E72" s="55"/>
      <c r="F72" s="55"/>
      <c r="G72" s="55"/>
      <c r="H72" s="55"/>
      <c r="I72" s="55"/>
    </row>
    <row r="73" spans="1:9" x14ac:dyDescent="0.4">
      <c r="A73" s="55"/>
      <c r="D73" s="55"/>
      <c r="E73" s="55"/>
      <c r="F73" s="55"/>
      <c r="G73" s="55"/>
      <c r="H73" s="55"/>
      <c r="I73" s="55"/>
    </row>
    <row r="74" spans="1:9" x14ac:dyDescent="0.4">
      <c r="A74" s="55"/>
      <c r="D74" s="55"/>
      <c r="E74" s="55"/>
      <c r="F74" s="55"/>
      <c r="G74" s="55"/>
      <c r="H74" s="55"/>
      <c r="I74" s="55"/>
    </row>
    <row r="75" spans="1:9" x14ac:dyDescent="0.4">
      <c r="A75" s="55"/>
      <c r="D75" s="55"/>
      <c r="E75" s="55"/>
      <c r="F75" s="55"/>
      <c r="G75" s="55"/>
      <c r="H75" s="55"/>
      <c r="I75" s="55"/>
    </row>
    <row r="76" spans="1:9" x14ac:dyDescent="0.4">
      <c r="A76" s="55"/>
      <c r="D76" s="55"/>
      <c r="E76" s="55"/>
      <c r="F76" s="55"/>
      <c r="G76" s="55"/>
      <c r="H76" s="55"/>
      <c r="I76" s="55"/>
    </row>
    <row r="77" spans="1:9" x14ac:dyDescent="0.4">
      <c r="A77" s="55"/>
      <c r="D77" s="55"/>
      <c r="E77" s="55"/>
      <c r="F77" s="55"/>
      <c r="G77" s="55"/>
      <c r="H77" s="55"/>
      <c r="I77" s="55"/>
    </row>
    <row r="78" spans="1:9" x14ac:dyDescent="0.4">
      <c r="A78" s="55"/>
      <c r="D78" s="55"/>
      <c r="E78" s="55"/>
      <c r="F78" s="55"/>
      <c r="G78" s="55"/>
      <c r="H78" s="55"/>
      <c r="I78" s="55"/>
    </row>
    <row r="79" spans="1:9" x14ac:dyDescent="0.4">
      <c r="A79" s="55"/>
      <c r="D79" s="55"/>
      <c r="E79" s="55"/>
      <c r="F79" s="55"/>
      <c r="G79" s="55"/>
      <c r="H79" s="55"/>
      <c r="I79" s="55"/>
    </row>
    <row r="80" spans="1:9" x14ac:dyDescent="0.4">
      <c r="A80" s="55"/>
      <c r="D80" s="55"/>
      <c r="E80" s="55"/>
      <c r="F80" s="55"/>
      <c r="G80" s="55"/>
      <c r="H80" s="55"/>
      <c r="I80" s="55"/>
    </row>
    <row r="81" spans="1:9" x14ac:dyDescent="0.4">
      <c r="A81" s="55"/>
      <c r="D81" s="55"/>
      <c r="E81" s="55"/>
      <c r="F81" s="55"/>
      <c r="G81" s="55"/>
      <c r="H81" s="55"/>
      <c r="I81" s="55"/>
    </row>
    <row r="82" spans="1:9" x14ac:dyDescent="0.4">
      <c r="A82" s="55"/>
      <c r="D82" s="55"/>
      <c r="E82" s="55"/>
      <c r="F82" s="55"/>
      <c r="G82" s="55"/>
      <c r="H82" s="55"/>
      <c r="I82" s="55"/>
    </row>
    <row r="83" spans="1:9" x14ac:dyDescent="0.4">
      <c r="A83" s="55"/>
      <c r="D83" s="55"/>
      <c r="E83" s="55"/>
      <c r="F83" s="55"/>
      <c r="G83" s="55"/>
      <c r="H83" s="55"/>
      <c r="I83" s="55"/>
    </row>
    <row r="84" spans="1:9" x14ac:dyDescent="0.4">
      <c r="A84" s="55"/>
      <c r="D84" s="55"/>
      <c r="E84" s="55"/>
      <c r="F84" s="55"/>
      <c r="G84" s="55"/>
      <c r="H84" s="55"/>
      <c r="I84" s="55"/>
    </row>
    <row r="85" spans="1:9" x14ac:dyDescent="0.4">
      <c r="A85" s="55"/>
      <c r="D85" s="55"/>
      <c r="E85" s="55"/>
      <c r="F85" s="55"/>
      <c r="G85" s="55"/>
      <c r="H85" s="55"/>
      <c r="I85" s="55"/>
    </row>
    <row r="86" spans="1:9" x14ac:dyDescent="0.4">
      <c r="A86" s="55"/>
      <c r="D86" s="55"/>
      <c r="E86" s="55"/>
      <c r="F86" s="55"/>
      <c r="G86" s="55"/>
      <c r="H86" s="55"/>
      <c r="I86" s="55"/>
    </row>
    <row r="87" spans="1:9" x14ac:dyDescent="0.4">
      <c r="A87" s="55"/>
      <c r="D87" s="55"/>
      <c r="E87" s="55"/>
      <c r="F87" s="55"/>
      <c r="G87" s="55"/>
      <c r="H87" s="55"/>
      <c r="I87" s="55"/>
    </row>
    <row r="88" spans="1:9" x14ac:dyDescent="0.4">
      <c r="A88" s="55"/>
      <c r="D88" s="55"/>
      <c r="E88" s="55"/>
      <c r="F88" s="55"/>
      <c r="G88" s="55"/>
      <c r="H88" s="55"/>
      <c r="I88" s="55"/>
    </row>
    <row r="89" spans="1:9" x14ac:dyDescent="0.4">
      <c r="A89" s="55"/>
      <c r="D89" s="55"/>
      <c r="E89" s="55"/>
      <c r="F89" s="55"/>
      <c r="G89" s="55"/>
      <c r="H89" s="55"/>
      <c r="I89" s="55"/>
    </row>
    <row r="90" spans="1:9" x14ac:dyDescent="0.4">
      <c r="A90" s="55"/>
      <c r="D90" s="55"/>
      <c r="E90" s="55"/>
      <c r="F90" s="55"/>
      <c r="G90" s="55"/>
      <c r="H90" s="55"/>
      <c r="I90" s="55"/>
    </row>
    <row r="91" spans="1:9" x14ac:dyDescent="0.4">
      <c r="A91" s="55"/>
      <c r="D91" s="55"/>
      <c r="E91" s="55"/>
      <c r="F91" s="55"/>
      <c r="G91" s="55"/>
      <c r="H91" s="55"/>
      <c r="I91" s="55"/>
    </row>
    <row r="92" spans="1:9" x14ac:dyDescent="0.4">
      <c r="A92" s="55"/>
      <c r="D92" s="55"/>
      <c r="E92" s="55"/>
      <c r="F92" s="55"/>
      <c r="G92" s="55"/>
      <c r="H92" s="55"/>
      <c r="I92" s="55"/>
    </row>
    <row r="93" spans="1:9" x14ac:dyDescent="0.4">
      <c r="A93" s="55"/>
      <c r="D93" s="55"/>
      <c r="E93" s="55"/>
      <c r="F93" s="55"/>
      <c r="G93" s="55"/>
      <c r="H93" s="55"/>
      <c r="I93" s="55"/>
    </row>
    <row r="94" spans="1:9" x14ac:dyDescent="0.4">
      <c r="A94" s="55"/>
      <c r="D94" s="55"/>
      <c r="E94" s="55"/>
      <c r="F94" s="55"/>
      <c r="G94" s="55"/>
      <c r="H94" s="55"/>
      <c r="I94" s="55"/>
    </row>
    <row r="95" spans="1:9" x14ac:dyDescent="0.4">
      <c r="A95" s="55"/>
      <c r="D95" s="55"/>
      <c r="E95" s="55"/>
      <c r="F95" s="55"/>
      <c r="G95" s="55"/>
      <c r="H95" s="55"/>
      <c r="I95" s="55"/>
    </row>
    <row r="96" spans="1:9" x14ac:dyDescent="0.4">
      <c r="A96" s="55"/>
      <c r="D96" s="55"/>
      <c r="E96" s="55"/>
      <c r="F96" s="55"/>
      <c r="G96" s="55"/>
      <c r="H96" s="55"/>
      <c r="I96" s="55"/>
    </row>
    <row r="97" spans="1:9" x14ac:dyDescent="0.4">
      <c r="A97" s="55"/>
      <c r="D97" s="55"/>
      <c r="E97" s="55"/>
      <c r="F97" s="55"/>
      <c r="G97" s="55"/>
      <c r="H97" s="55"/>
      <c r="I97" s="55"/>
    </row>
    <row r="98" spans="1:9" x14ac:dyDescent="0.4">
      <c r="A98" s="55"/>
      <c r="D98" s="55"/>
      <c r="E98" s="55"/>
      <c r="F98" s="55"/>
      <c r="G98" s="55"/>
      <c r="H98" s="55"/>
      <c r="I98" s="55"/>
    </row>
    <row r="99" spans="1:9" x14ac:dyDescent="0.4">
      <c r="A99" s="55"/>
      <c r="D99" s="55"/>
      <c r="E99" s="55"/>
      <c r="F99" s="55"/>
      <c r="G99" s="55"/>
      <c r="H99" s="55"/>
      <c r="I99" s="55"/>
    </row>
    <row r="100" spans="1:9" x14ac:dyDescent="0.4">
      <c r="A100" s="55"/>
      <c r="D100" s="55"/>
      <c r="E100" s="55"/>
      <c r="F100" s="55"/>
      <c r="G100" s="55"/>
      <c r="H100" s="55"/>
      <c r="I100" s="55"/>
    </row>
    <row r="101" spans="1:9" x14ac:dyDescent="0.4">
      <c r="A101" s="55"/>
      <c r="D101" s="55"/>
      <c r="E101" s="55"/>
      <c r="F101" s="55"/>
      <c r="G101" s="55"/>
      <c r="H101" s="55"/>
      <c r="I101" s="55"/>
    </row>
    <row r="102" spans="1:9" x14ac:dyDescent="0.4">
      <c r="A102" s="55"/>
      <c r="D102" s="55"/>
      <c r="E102" s="55"/>
      <c r="F102" s="55"/>
      <c r="G102" s="55"/>
      <c r="H102" s="55"/>
      <c r="I102" s="55"/>
    </row>
    <row r="103" spans="1:9" x14ac:dyDescent="0.4">
      <c r="A103" s="55"/>
      <c r="D103" s="55"/>
      <c r="E103" s="55"/>
      <c r="F103" s="55"/>
      <c r="G103" s="55"/>
      <c r="H103" s="55"/>
      <c r="I103" s="55"/>
    </row>
    <row r="104" spans="1:9" x14ac:dyDescent="0.4">
      <c r="A104" s="55"/>
      <c r="D104" s="55"/>
      <c r="E104" s="55"/>
      <c r="F104" s="55"/>
      <c r="G104" s="55"/>
      <c r="H104" s="55"/>
      <c r="I104" s="55"/>
    </row>
    <row r="105" spans="1:9" x14ac:dyDescent="0.4">
      <c r="A105" s="55"/>
      <c r="D105" s="55"/>
      <c r="E105" s="55"/>
      <c r="F105" s="55"/>
      <c r="G105" s="55"/>
      <c r="H105" s="55"/>
      <c r="I105" s="55"/>
    </row>
    <row r="106" spans="1:9" x14ac:dyDescent="0.4">
      <c r="A106" s="55"/>
      <c r="D106" s="55"/>
      <c r="E106" s="55"/>
      <c r="F106" s="55"/>
      <c r="G106" s="55"/>
      <c r="H106" s="55"/>
      <c r="I106" s="55"/>
    </row>
    <row r="107" spans="1:9" x14ac:dyDescent="0.4">
      <c r="A107" s="55"/>
      <c r="D107" s="55"/>
      <c r="E107" s="55"/>
      <c r="F107" s="55"/>
      <c r="G107" s="55"/>
      <c r="H107" s="55"/>
      <c r="I107" s="55"/>
    </row>
    <row r="108" spans="1:9" x14ac:dyDescent="0.4">
      <c r="A108" s="55"/>
      <c r="D108" s="55"/>
      <c r="E108" s="55"/>
      <c r="F108" s="55"/>
      <c r="G108" s="55"/>
      <c r="H108" s="55"/>
      <c r="I108" s="55"/>
    </row>
    <row r="109" spans="1:9" x14ac:dyDescent="0.4">
      <c r="A109" s="55"/>
      <c r="D109" s="55"/>
      <c r="E109" s="55"/>
      <c r="F109" s="55"/>
      <c r="G109" s="55"/>
      <c r="H109" s="55"/>
      <c r="I109" s="55"/>
    </row>
    <row r="110" spans="1:9" x14ac:dyDescent="0.4">
      <c r="A110" s="55"/>
      <c r="D110" s="55"/>
      <c r="E110" s="55"/>
      <c r="F110" s="55"/>
      <c r="G110" s="55"/>
      <c r="H110" s="55"/>
      <c r="I110" s="55"/>
    </row>
    <row r="111" spans="1:9" x14ac:dyDescent="0.4">
      <c r="A111" s="55"/>
      <c r="D111" s="55"/>
      <c r="E111" s="55"/>
      <c r="F111" s="55"/>
      <c r="G111" s="55"/>
      <c r="H111" s="55"/>
      <c r="I111" s="55"/>
    </row>
    <row r="112" spans="1:9" x14ac:dyDescent="0.4">
      <c r="A112" s="55"/>
      <c r="D112" s="55"/>
      <c r="E112" s="55"/>
      <c r="F112" s="55"/>
      <c r="G112" s="55"/>
      <c r="H112" s="55"/>
      <c r="I112" s="55"/>
    </row>
    <row r="113" spans="1:9" x14ac:dyDescent="0.4">
      <c r="A113" s="55"/>
      <c r="D113" s="55"/>
      <c r="E113" s="55"/>
      <c r="F113" s="55"/>
      <c r="G113" s="55"/>
      <c r="H113" s="55"/>
      <c r="I113" s="55"/>
    </row>
    <row r="114" spans="1:9" x14ac:dyDescent="0.4">
      <c r="A114" s="55"/>
      <c r="D114" s="55"/>
      <c r="E114" s="55"/>
      <c r="F114" s="55"/>
      <c r="G114" s="55"/>
      <c r="H114" s="55"/>
      <c r="I114" s="55"/>
    </row>
    <row r="115" spans="1:9" x14ac:dyDescent="0.4">
      <c r="A115" s="55"/>
      <c r="D115" s="55"/>
      <c r="E115" s="55"/>
      <c r="F115" s="55"/>
      <c r="G115" s="55"/>
      <c r="H115" s="55"/>
      <c r="I115" s="55"/>
    </row>
    <row r="116" spans="1:9" x14ac:dyDescent="0.4">
      <c r="A116" s="55"/>
      <c r="D116" s="55"/>
      <c r="E116" s="55"/>
      <c r="F116" s="55"/>
      <c r="G116" s="55"/>
      <c r="H116" s="55"/>
      <c r="I116" s="55"/>
    </row>
    <row r="117" spans="1:9" x14ac:dyDescent="0.4">
      <c r="A117" s="55"/>
      <c r="D117" s="55"/>
      <c r="E117" s="55"/>
      <c r="F117" s="55"/>
      <c r="G117" s="55"/>
      <c r="H117" s="55"/>
      <c r="I117" s="55"/>
    </row>
    <row r="118" spans="1:9" x14ac:dyDescent="0.4">
      <c r="A118" s="55"/>
      <c r="D118" s="55"/>
      <c r="E118" s="55"/>
      <c r="F118" s="55"/>
      <c r="G118" s="55"/>
      <c r="H118" s="55"/>
      <c r="I118" s="55"/>
    </row>
    <row r="119" spans="1:9" x14ac:dyDescent="0.4">
      <c r="A119" s="55"/>
      <c r="D119" s="55"/>
      <c r="E119" s="55"/>
      <c r="F119" s="55"/>
      <c r="G119" s="55"/>
      <c r="H119" s="55"/>
      <c r="I119" s="55"/>
    </row>
    <row r="120" spans="1:9" x14ac:dyDescent="0.4">
      <c r="A120" s="55"/>
      <c r="D120" s="55"/>
      <c r="E120" s="55"/>
      <c r="F120" s="55"/>
      <c r="G120" s="55"/>
      <c r="H120" s="55"/>
      <c r="I120" s="55"/>
    </row>
    <row r="121" spans="1:9" x14ac:dyDescent="0.4">
      <c r="A121" s="55"/>
      <c r="D121" s="55"/>
      <c r="E121" s="55"/>
      <c r="F121" s="55"/>
      <c r="G121" s="55"/>
      <c r="H121" s="55"/>
      <c r="I121" s="55"/>
    </row>
    <row r="122" spans="1:9" x14ac:dyDescent="0.4">
      <c r="A122" s="55"/>
      <c r="D122" s="55"/>
      <c r="E122" s="55"/>
      <c r="F122" s="55"/>
      <c r="G122" s="55"/>
      <c r="H122" s="55"/>
      <c r="I122" s="55"/>
    </row>
    <row r="123" spans="1:9" x14ac:dyDescent="0.4">
      <c r="A123" s="55"/>
      <c r="D123" s="55"/>
      <c r="E123" s="55"/>
      <c r="F123" s="55"/>
      <c r="G123" s="55"/>
      <c r="H123" s="55"/>
      <c r="I123" s="55"/>
    </row>
    <row r="124" spans="1:9" x14ac:dyDescent="0.4">
      <c r="A124" s="55"/>
      <c r="D124" s="55"/>
      <c r="E124" s="55"/>
      <c r="F124" s="55"/>
      <c r="G124" s="55"/>
      <c r="H124" s="55"/>
      <c r="I124" s="55"/>
    </row>
    <row r="125" spans="1:9" x14ac:dyDescent="0.4">
      <c r="A125" s="55"/>
      <c r="D125" s="55"/>
      <c r="E125" s="55"/>
      <c r="F125" s="55"/>
      <c r="G125" s="55"/>
      <c r="H125" s="55"/>
      <c r="I125" s="55"/>
    </row>
    <row r="126" spans="1:9" x14ac:dyDescent="0.4">
      <c r="A126" s="55"/>
      <c r="D126" s="55"/>
      <c r="E126" s="55"/>
      <c r="F126" s="55"/>
      <c r="G126" s="55"/>
      <c r="H126" s="55"/>
      <c r="I126" s="55"/>
    </row>
    <row r="127" spans="1:9" x14ac:dyDescent="0.4">
      <c r="A127" s="55"/>
      <c r="D127" s="55"/>
      <c r="E127" s="55"/>
      <c r="F127" s="55"/>
      <c r="G127" s="55"/>
      <c r="H127" s="55"/>
      <c r="I127" s="55"/>
    </row>
    <row r="128" spans="1:9" x14ac:dyDescent="0.4">
      <c r="A128" s="55"/>
      <c r="D128" s="55"/>
      <c r="E128" s="55"/>
      <c r="F128" s="55"/>
      <c r="G128" s="55"/>
      <c r="H128" s="55"/>
      <c r="I128" s="55"/>
    </row>
    <row r="129" spans="1:9" x14ac:dyDescent="0.4">
      <c r="A129" s="55"/>
      <c r="D129" s="55"/>
      <c r="E129" s="55"/>
      <c r="F129" s="55"/>
      <c r="G129" s="55"/>
      <c r="H129" s="55"/>
      <c r="I129" s="55"/>
    </row>
    <row r="130" spans="1:9" x14ac:dyDescent="0.4">
      <c r="A130" s="55"/>
      <c r="D130" s="55"/>
      <c r="E130" s="55"/>
      <c r="F130" s="55"/>
      <c r="G130" s="55"/>
      <c r="H130" s="55"/>
      <c r="I130" s="55"/>
    </row>
    <row r="131" spans="1:9" x14ac:dyDescent="0.4">
      <c r="A131" s="55"/>
      <c r="D131" s="55"/>
      <c r="E131" s="55"/>
      <c r="F131" s="55"/>
      <c r="G131" s="55"/>
      <c r="H131" s="55"/>
      <c r="I131" s="55"/>
    </row>
    <row r="132" spans="1:9" x14ac:dyDescent="0.4">
      <c r="A132" s="55"/>
      <c r="D132" s="55"/>
      <c r="E132" s="55"/>
      <c r="F132" s="55"/>
      <c r="G132" s="55"/>
      <c r="H132" s="55"/>
      <c r="I132" s="55"/>
    </row>
    <row r="133" spans="1:9" x14ac:dyDescent="0.4">
      <c r="A133" s="55"/>
      <c r="D133" s="55"/>
      <c r="E133" s="55"/>
      <c r="F133" s="55"/>
      <c r="G133" s="55"/>
      <c r="H133" s="55"/>
      <c r="I133" s="55"/>
    </row>
    <row r="134" spans="1:9" x14ac:dyDescent="0.4">
      <c r="A134" s="55"/>
      <c r="D134" s="55"/>
      <c r="E134" s="55"/>
      <c r="F134" s="55"/>
      <c r="G134" s="55"/>
      <c r="H134" s="55"/>
      <c r="I134" s="55"/>
    </row>
    <row r="135" spans="1:9" x14ac:dyDescent="0.4">
      <c r="A135" s="55"/>
      <c r="D135" s="55"/>
      <c r="E135" s="55"/>
      <c r="F135" s="55"/>
      <c r="G135" s="55"/>
      <c r="H135" s="55"/>
      <c r="I135" s="55"/>
    </row>
    <row r="136" spans="1:9" x14ac:dyDescent="0.4">
      <c r="A136" s="55"/>
      <c r="D136" s="55"/>
      <c r="E136" s="55"/>
      <c r="F136" s="55"/>
      <c r="G136" s="55"/>
      <c r="H136" s="55"/>
      <c r="I136" s="55"/>
    </row>
    <row r="137" spans="1:9" x14ac:dyDescent="0.4">
      <c r="A137" s="55"/>
      <c r="D137" s="55"/>
      <c r="E137" s="55"/>
      <c r="F137" s="55"/>
      <c r="G137" s="55"/>
      <c r="H137" s="55"/>
      <c r="I137" s="55"/>
    </row>
    <row r="138" spans="1:9" x14ac:dyDescent="0.4">
      <c r="A138" s="55"/>
      <c r="D138" s="55"/>
      <c r="E138" s="55"/>
      <c r="F138" s="55"/>
      <c r="G138" s="55"/>
      <c r="H138" s="55"/>
      <c r="I138" s="55"/>
    </row>
    <row r="139" spans="1:9" x14ac:dyDescent="0.4">
      <c r="A139" s="55"/>
      <c r="D139" s="55"/>
      <c r="E139" s="55"/>
      <c r="F139" s="55"/>
      <c r="G139" s="55"/>
      <c r="H139" s="55"/>
      <c r="I139" s="55"/>
    </row>
    <row r="140" spans="1:9" x14ac:dyDescent="0.4">
      <c r="A140" s="55"/>
      <c r="D140" s="55"/>
      <c r="E140" s="55"/>
      <c r="F140" s="55"/>
      <c r="G140" s="55"/>
      <c r="H140" s="55"/>
      <c r="I140" s="55"/>
    </row>
    <row r="141" spans="1:9" x14ac:dyDescent="0.4">
      <c r="A141" s="55"/>
      <c r="D141" s="55"/>
      <c r="E141" s="55"/>
      <c r="F141" s="55"/>
      <c r="G141" s="55"/>
      <c r="H141" s="55"/>
      <c r="I141" s="55"/>
    </row>
    <row r="142" spans="1:9" x14ac:dyDescent="0.4">
      <c r="A142" s="55"/>
      <c r="D142" s="55"/>
      <c r="E142" s="55"/>
      <c r="F142" s="55"/>
      <c r="G142" s="55"/>
      <c r="H142" s="55"/>
      <c r="I142" s="55"/>
    </row>
    <row r="143" spans="1:9" x14ac:dyDescent="0.4">
      <c r="A143" s="55"/>
      <c r="D143" s="55"/>
      <c r="E143" s="55"/>
      <c r="F143" s="55"/>
      <c r="G143" s="55"/>
      <c r="H143" s="55"/>
      <c r="I143" s="55"/>
    </row>
    <row r="144" spans="1:9" x14ac:dyDescent="0.4">
      <c r="A144" s="55"/>
      <c r="D144" s="55"/>
      <c r="E144" s="55"/>
      <c r="F144" s="55"/>
      <c r="G144" s="55"/>
      <c r="H144" s="55"/>
      <c r="I144" s="55"/>
    </row>
    <row r="145" spans="1:9" x14ac:dyDescent="0.4">
      <c r="A145" s="55"/>
      <c r="D145" s="55"/>
      <c r="E145" s="55"/>
      <c r="F145" s="55"/>
      <c r="G145" s="55"/>
      <c r="H145" s="55"/>
      <c r="I145" s="55"/>
    </row>
    <row r="146" spans="1:9" x14ac:dyDescent="0.4">
      <c r="A146" s="55"/>
      <c r="D146" s="55"/>
      <c r="E146" s="55"/>
      <c r="F146" s="55"/>
      <c r="G146" s="55"/>
      <c r="H146" s="55"/>
      <c r="I146" s="55"/>
    </row>
    <row r="147" spans="1:9" x14ac:dyDescent="0.4">
      <c r="A147" s="55"/>
      <c r="D147" s="55"/>
      <c r="E147" s="55"/>
      <c r="F147" s="55"/>
      <c r="G147" s="55"/>
      <c r="H147" s="55"/>
      <c r="I147" s="55"/>
    </row>
    <row r="148" spans="1:9" x14ac:dyDescent="0.4">
      <c r="A148" s="55"/>
      <c r="D148" s="55"/>
      <c r="E148" s="55"/>
      <c r="F148" s="55"/>
      <c r="G148" s="55"/>
      <c r="H148" s="55"/>
      <c r="I148" s="55"/>
    </row>
    <row r="149" spans="1:9" x14ac:dyDescent="0.4">
      <c r="A149" s="55"/>
      <c r="D149" s="55"/>
      <c r="E149" s="55"/>
      <c r="F149" s="55"/>
      <c r="G149" s="55"/>
      <c r="H149" s="55"/>
      <c r="I149" s="55"/>
    </row>
    <row r="150" spans="1:9" x14ac:dyDescent="0.4">
      <c r="A150" s="55"/>
      <c r="D150" s="55"/>
      <c r="E150" s="55"/>
      <c r="F150" s="55"/>
      <c r="G150" s="55"/>
      <c r="H150" s="55"/>
      <c r="I150" s="55"/>
    </row>
    <row r="151" spans="1:9" x14ac:dyDescent="0.4">
      <c r="A151" s="55"/>
      <c r="D151" s="55"/>
      <c r="E151" s="55"/>
      <c r="F151" s="55"/>
      <c r="G151" s="55"/>
      <c r="H151" s="55"/>
      <c r="I151" s="55"/>
    </row>
    <row r="152" spans="1:9" x14ac:dyDescent="0.4">
      <c r="A152" s="55"/>
      <c r="D152" s="55"/>
      <c r="E152" s="55"/>
      <c r="F152" s="55"/>
      <c r="G152" s="55"/>
      <c r="H152" s="55"/>
      <c r="I152" s="55"/>
    </row>
    <row r="153" spans="1:9" x14ac:dyDescent="0.4">
      <c r="A153" s="55"/>
      <c r="D153" s="55"/>
      <c r="E153" s="55"/>
      <c r="F153" s="55"/>
      <c r="G153" s="55"/>
      <c r="H153" s="55"/>
      <c r="I153" s="55"/>
    </row>
    <row r="154" spans="1:9" x14ac:dyDescent="0.4">
      <c r="A154" s="55"/>
      <c r="D154" s="55"/>
      <c r="E154" s="55"/>
      <c r="F154" s="55"/>
      <c r="G154" s="55"/>
      <c r="H154" s="55"/>
      <c r="I154" s="55"/>
    </row>
    <row r="155" spans="1:9" x14ac:dyDescent="0.4">
      <c r="A155" s="55"/>
      <c r="D155" s="55"/>
      <c r="E155" s="55"/>
      <c r="F155" s="55"/>
      <c r="G155" s="55"/>
      <c r="H155" s="55"/>
      <c r="I155" s="55"/>
    </row>
    <row r="156" spans="1:9" x14ac:dyDescent="0.4">
      <c r="A156" s="55"/>
      <c r="D156" s="55"/>
      <c r="E156" s="55"/>
      <c r="F156" s="55"/>
      <c r="G156" s="55"/>
      <c r="H156" s="55"/>
      <c r="I156" s="55"/>
    </row>
    <row r="157" spans="1:9" x14ac:dyDescent="0.4">
      <c r="A157" s="55"/>
      <c r="D157" s="55"/>
      <c r="E157" s="55"/>
      <c r="F157" s="55"/>
      <c r="G157" s="55"/>
      <c r="H157" s="55"/>
      <c r="I157" s="55"/>
    </row>
    <row r="158" spans="1:9" x14ac:dyDescent="0.4">
      <c r="A158" s="55"/>
      <c r="D158" s="55"/>
      <c r="E158" s="55"/>
      <c r="F158" s="55"/>
      <c r="G158" s="55"/>
      <c r="H158" s="55"/>
      <c r="I158" s="55"/>
    </row>
    <row r="159" spans="1:9" x14ac:dyDescent="0.4">
      <c r="A159" s="55"/>
      <c r="D159" s="55"/>
      <c r="E159" s="55"/>
      <c r="F159" s="55"/>
      <c r="G159" s="55"/>
      <c r="H159" s="55"/>
      <c r="I159" s="55"/>
    </row>
    <row r="160" spans="1:9" x14ac:dyDescent="0.4">
      <c r="A160" s="55"/>
      <c r="D160" s="55"/>
      <c r="E160" s="55"/>
      <c r="F160" s="55"/>
      <c r="G160" s="55"/>
      <c r="H160" s="55"/>
      <c r="I160" s="55"/>
    </row>
    <row r="161" spans="1:9" x14ac:dyDescent="0.4">
      <c r="A161" s="55"/>
      <c r="D161" s="55"/>
      <c r="E161" s="55"/>
      <c r="F161" s="55"/>
      <c r="G161" s="55"/>
      <c r="H161" s="55"/>
      <c r="I161" s="55"/>
    </row>
    <row r="162" spans="1:9" x14ac:dyDescent="0.4">
      <c r="A162" s="55"/>
      <c r="D162" s="55"/>
      <c r="E162" s="55"/>
      <c r="F162" s="55"/>
      <c r="G162" s="55"/>
      <c r="H162" s="55"/>
      <c r="I162" s="55"/>
    </row>
    <row r="163" spans="1:9" x14ac:dyDescent="0.4">
      <c r="A163" s="55"/>
      <c r="D163" s="55"/>
      <c r="E163" s="55"/>
      <c r="F163" s="55"/>
      <c r="G163" s="55"/>
      <c r="H163" s="55"/>
      <c r="I163" s="55"/>
    </row>
    <row r="164" spans="1:9" x14ac:dyDescent="0.4">
      <c r="A164" s="55"/>
      <c r="D164" s="55"/>
      <c r="E164" s="55"/>
      <c r="F164" s="55"/>
      <c r="G164" s="55"/>
      <c r="H164" s="55"/>
      <c r="I164" s="55"/>
    </row>
    <row r="165" spans="1:9" x14ac:dyDescent="0.4">
      <c r="A165" s="55"/>
      <c r="D165" s="55"/>
      <c r="E165" s="55"/>
      <c r="F165" s="55"/>
      <c r="G165" s="55"/>
      <c r="H165" s="55"/>
      <c r="I165" s="55"/>
    </row>
    <row r="166" spans="1:9" x14ac:dyDescent="0.4">
      <c r="A166" s="55"/>
      <c r="D166" s="55"/>
      <c r="E166" s="55"/>
      <c r="F166" s="55"/>
      <c r="G166" s="55"/>
      <c r="H166" s="55"/>
      <c r="I166" s="55"/>
    </row>
    <row r="167" spans="1:9" x14ac:dyDescent="0.4">
      <c r="A167" s="55"/>
      <c r="D167" s="55"/>
      <c r="E167" s="55"/>
      <c r="F167" s="55"/>
      <c r="G167" s="55"/>
      <c r="H167" s="55"/>
      <c r="I167" s="55"/>
    </row>
    <row r="168" spans="1:9" x14ac:dyDescent="0.4">
      <c r="A168" s="55"/>
      <c r="D168" s="55"/>
      <c r="E168" s="55"/>
      <c r="F168" s="55"/>
      <c r="G168" s="55"/>
      <c r="H168" s="55"/>
      <c r="I168" s="55"/>
    </row>
    <row r="169" spans="1:9" x14ac:dyDescent="0.4">
      <c r="A169" s="55"/>
      <c r="D169" s="55"/>
      <c r="E169" s="55"/>
      <c r="F169" s="55"/>
      <c r="G169" s="55"/>
      <c r="H169" s="55"/>
      <c r="I169" s="55"/>
    </row>
    <row r="170" spans="1:9" x14ac:dyDescent="0.4">
      <c r="A170" s="55"/>
      <c r="D170" s="55"/>
      <c r="E170" s="55"/>
      <c r="F170" s="55"/>
      <c r="G170" s="55"/>
      <c r="H170" s="55"/>
      <c r="I170" s="55"/>
    </row>
    <row r="171" spans="1:9" x14ac:dyDescent="0.4">
      <c r="A171" s="55"/>
      <c r="D171" s="55"/>
      <c r="E171" s="55"/>
      <c r="F171" s="55"/>
      <c r="G171" s="55"/>
      <c r="H171" s="55"/>
      <c r="I171" s="55"/>
    </row>
    <row r="172" spans="1:9" x14ac:dyDescent="0.4">
      <c r="A172" s="55"/>
      <c r="D172" s="55"/>
      <c r="E172" s="55"/>
      <c r="F172" s="55"/>
      <c r="G172" s="55"/>
      <c r="H172" s="55"/>
      <c r="I172" s="55"/>
    </row>
    <row r="173" spans="1:9" x14ac:dyDescent="0.4">
      <c r="A173" s="55"/>
      <c r="D173" s="55"/>
      <c r="E173" s="55"/>
      <c r="F173" s="55"/>
      <c r="G173" s="55"/>
      <c r="H173" s="55"/>
      <c r="I173" s="55"/>
    </row>
    <row r="174" spans="1:9" x14ac:dyDescent="0.4">
      <c r="A174" s="55"/>
      <c r="D174" s="55"/>
      <c r="E174" s="55"/>
      <c r="F174" s="55"/>
      <c r="G174" s="55"/>
      <c r="H174" s="55"/>
      <c r="I174" s="55"/>
    </row>
    <row r="175" spans="1:9" x14ac:dyDescent="0.4">
      <c r="A175" s="55"/>
      <c r="D175" s="55"/>
      <c r="E175" s="55"/>
      <c r="F175" s="55"/>
      <c r="G175" s="55"/>
      <c r="H175" s="55"/>
      <c r="I175" s="55"/>
    </row>
    <row r="176" spans="1:9" x14ac:dyDescent="0.4">
      <c r="A176" s="55"/>
      <c r="D176" s="55"/>
      <c r="E176" s="55"/>
      <c r="F176" s="55"/>
      <c r="G176" s="55"/>
      <c r="H176" s="55"/>
      <c r="I176" s="55"/>
    </row>
    <row r="177" spans="1:9" x14ac:dyDescent="0.4">
      <c r="A177" s="55"/>
      <c r="D177" s="55"/>
      <c r="E177" s="55"/>
      <c r="F177" s="55"/>
      <c r="G177" s="55"/>
      <c r="H177" s="55"/>
      <c r="I177" s="55"/>
    </row>
    <row r="178" spans="1:9" x14ac:dyDescent="0.4">
      <c r="A178" s="55"/>
      <c r="D178" s="55"/>
      <c r="E178" s="55"/>
      <c r="F178" s="55"/>
      <c r="G178" s="55"/>
      <c r="H178" s="55"/>
      <c r="I178" s="55"/>
    </row>
    <row r="179" spans="1:9" x14ac:dyDescent="0.4">
      <c r="A179" s="55"/>
      <c r="D179" s="55"/>
      <c r="E179" s="55"/>
      <c r="F179" s="55"/>
      <c r="G179" s="55"/>
      <c r="H179" s="55"/>
      <c r="I179" s="55"/>
    </row>
    <row r="180" spans="1:9" x14ac:dyDescent="0.4">
      <c r="A180" s="55"/>
      <c r="D180" s="55"/>
      <c r="E180" s="55"/>
      <c r="F180" s="55"/>
      <c r="G180" s="55"/>
      <c r="H180" s="55"/>
      <c r="I180" s="55"/>
    </row>
    <row r="181" spans="1:9" x14ac:dyDescent="0.4">
      <c r="A181" s="55"/>
      <c r="D181" s="55"/>
      <c r="E181" s="55"/>
      <c r="F181" s="55"/>
      <c r="G181" s="55"/>
      <c r="H181" s="55"/>
      <c r="I181" s="55"/>
    </row>
    <row r="182" spans="1:9" x14ac:dyDescent="0.4">
      <c r="A182" s="55"/>
      <c r="D182" s="55"/>
      <c r="E182" s="55"/>
      <c r="F182" s="55"/>
      <c r="G182" s="55"/>
      <c r="H182" s="55"/>
      <c r="I182" s="55"/>
    </row>
    <row r="183" spans="1:9" x14ac:dyDescent="0.4">
      <c r="A183" s="55"/>
      <c r="D183" s="55"/>
      <c r="E183" s="55"/>
      <c r="F183" s="55"/>
      <c r="G183" s="55"/>
      <c r="H183" s="55"/>
      <c r="I183" s="55"/>
    </row>
    <row r="184" spans="1:9" x14ac:dyDescent="0.4">
      <c r="A184" s="55"/>
      <c r="D184" s="55"/>
      <c r="E184" s="55"/>
      <c r="F184" s="55"/>
      <c r="G184" s="55"/>
      <c r="H184" s="55"/>
      <c r="I184" s="55"/>
    </row>
    <row r="185" spans="1:9" x14ac:dyDescent="0.4">
      <c r="A185" s="55"/>
      <c r="D185" s="55"/>
      <c r="E185" s="55"/>
      <c r="F185" s="55"/>
      <c r="G185" s="55"/>
      <c r="H185" s="55"/>
      <c r="I185" s="55"/>
    </row>
    <row r="186" spans="1:9" x14ac:dyDescent="0.4">
      <c r="A186" s="55"/>
      <c r="D186" s="55"/>
      <c r="E186" s="55"/>
      <c r="F186" s="55"/>
      <c r="G186" s="55"/>
      <c r="H186" s="55"/>
      <c r="I186" s="55"/>
    </row>
    <row r="187" spans="1:9" x14ac:dyDescent="0.4">
      <c r="A187" s="55"/>
      <c r="D187" s="55"/>
      <c r="E187" s="55"/>
      <c r="F187" s="55"/>
      <c r="G187" s="55"/>
      <c r="H187" s="55"/>
      <c r="I187" s="55"/>
    </row>
    <row r="188" spans="1:9" x14ac:dyDescent="0.4">
      <c r="A188" s="55"/>
      <c r="D188" s="55"/>
      <c r="E188" s="55"/>
      <c r="F188" s="55"/>
      <c r="G188" s="55"/>
      <c r="H188" s="55"/>
      <c r="I188" s="55"/>
    </row>
    <row r="189" spans="1:9" x14ac:dyDescent="0.4">
      <c r="A189" s="55"/>
      <c r="D189" s="55"/>
      <c r="E189" s="55"/>
      <c r="F189" s="55"/>
      <c r="G189" s="55"/>
      <c r="H189" s="55"/>
      <c r="I189" s="55"/>
    </row>
    <row r="190" spans="1:9" x14ac:dyDescent="0.4">
      <c r="A190" s="55"/>
      <c r="D190" s="55"/>
      <c r="E190" s="55"/>
      <c r="F190" s="55"/>
      <c r="G190" s="55"/>
      <c r="H190" s="55"/>
      <c r="I190" s="55"/>
    </row>
    <row r="191" spans="1:9" x14ac:dyDescent="0.4">
      <c r="A191" s="55"/>
      <c r="D191" s="55"/>
      <c r="E191" s="55"/>
      <c r="F191" s="55"/>
      <c r="G191" s="55"/>
      <c r="H191" s="55"/>
      <c r="I191" s="55"/>
    </row>
    <row r="192" spans="1:9" x14ac:dyDescent="0.4">
      <c r="A192" s="55"/>
      <c r="D192" s="55"/>
      <c r="E192" s="55"/>
      <c r="F192" s="55"/>
      <c r="G192" s="55"/>
      <c r="H192" s="55"/>
      <c r="I192" s="55"/>
    </row>
    <row r="193" spans="1:9" x14ac:dyDescent="0.4">
      <c r="A193" s="55"/>
      <c r="D193" s="55"/>
      <c r="E193" s="55"/>
      <c r="F193" s="55"/>
      <c r="G193" s="55"/>
      <c r="H193" s="55"/>
      <c r="I193" s="55"/>
    </row>
    <row r="194" spans="1:9" x14ac:dyDescent="0.4">
      <c r="A194" s="55"/>
      <c r="D194" s="55"/>
      <c r="E194" s="55"/>
      <c r="F194" s="55"/>
      <c r="G194" s="55"/>
      <c r="H194" s="55"/>
      <c r="I194" s="55"/>
    </row>
    <row r="195" spans="1:9" x14ac:dyDescent="0.4">
      <c r="A195" s="55"/>
      <c r="D195" s="55"/>
      <c r="E195" s="55"/>
      <c r="F195" s="55"/>
      <c r="G195" s="55"/>
      <c r="H195" s="55"/>
      <c r="I195" s="55"/>
    </row>
    <row r="196" spans="1:9" x14ac:dyDescent="0.4">
      <c r="A196" s="55"/>
      <c r="D196" s="55"/>
      <c r="E196" s="55"/>
      <c r="F196" s="55"/>
      <c r="G196" s="55"/>
      <c r="H196" s="55"/>
      <c r="I196" s="55"/>
    </row>
    <row r="197" spans="1:9" x14ac:dyDescent="0.4">
      <c r="A197" s="55"/>
      <c r="D197" s="55"/>
      <c r="E197" s="55"/>
      <c r="F197" s="55"/>
      <c r="G197" s="55"/>
      <c r="H197" s="55"/>
      <c r="I197" s="55"/>
    </row>
    <row r="198" spans="1:9" x14ac:dyDescent="0.4">
      <c r="A198" s="55"/>
      <c r="D198" s="55"/>
      <c r="E198" s="55"/>
      <c r="F198" s="55"/>
      <c r="G198" s="55"/>
      <c r="H198" s="55"/>
      <c r="I198" s="55"/>
    </row>
    <row r="199" spans="1:9" x14ac:dyDescent="0.4">
      <c r="A199" s="55"/>
      <c r="D199" s="55"/>
      <c r="E199" s="55"/>
      <c r="F199" s="55"/>
      <c r="G199" s="55"/>
      <c r="H199" s="55"/>
      <c r="I199" s="55"/>
    </row>
    <row r="200" spans="1:9" x14ac:dyDescent="0.4">
      <c r="A200" s="55"/>
      <c r="D200" s="55"/>
      <c r="E200" s="55"/>
      <c r="F200" s="55"/>
      <c r="G200" s="55"/>
      <c r="H200" s="55"/>
      <c r="I200" s="55"/>
    </row>
    <row r="201" spans="1:9" x14ac:dyDescent="0.4">
      <c r="A201" s="55"/>
      <c r="D201" s="55"/>
      <c r="E201" s="55"/>
      <c r="F201" s="55"/>
      <c r="G201" s="55"/>
      <c r="H201" s="55"/>
      <c r="I201" s="55"/>
    </row>
    <row r="202" spans="1:9" x14ac:dyDescent="0.4">
      <c r="A202" s="55"/>
      <c r="D202" s="55"/>
      <c r="E202" s="55"/>
      <c r="F202" s="55"/>
      <c r="G202" s="55"/>
      <c r="H202" s="55"/>
      <c r="I202" s="55"/>
    </row>
    <row r="203" spans="1:9" x14ac:dyDescent="0.4">
      <c r="A203" s="55"/>
      <c r="D203" s="55"/>
      <c r="E203" s="55"/>
      <c r="F203" s="55"/>
      <c r="G203" s="55"/>
      <c r="H203" s="55"/>
      <c r="I203" s="55"/>
    </row>
    <row r="204" spans="1:9" x14ac:dyDescent="0.4">
      <c r="A204" s="55"/>
      <c r="D204" s="55"/>
      <c r="E204" s="55"/>
      <c r="F204" s="55"/>
      <c r="G204" s="55"/>
      <c r="H204" s="55"/>
      <c r="I204" s="55"/>
    </row>
    <row r="205" spans="1:9" x14ac:dyDescent="0.4">
      <c r="A205" s="55"/>
      <c r="D205" s="55"/>
      <c r="E205" s="55"/>
      <c r="F205" s="55"/>
      <c r="G205" s="55"/>
      <c r="H205" s="55"/>
      <c r="I205" s="55"/>
    </row>
    <row r="206" spans="1:9" x14ac:dyDescent="0.4">
      <c r="A206" s="55"/>
      <c r="D206" s="55"/>
      <c r="E206" s="55"/>
      <c r="F206" s="55"/>
      <c r="G206" s="55"/>
      <c r="H206" s="55"/>
      <c r="I206" s="55"/>
    </row>
    <row r="207" spans="1:9" x14ac:dyDescent="0.4">
      <c r="A207" s="55"/>
      <c r="D207" s="55"/>
      <c r="E207" s="55"/>
      <c r="F207" s="55"/>
      <c r="G207" s="55"/>
      <c r="H207" s="55"/>
      <c r="I207" s="55"/>
    </row>
    <row r="208" spans="1:9" x14ac:dyDescent="0.4">
      <c r="A208" s="55"/>
      <c r="D208" s="55"/>
      <c r="E208" s="55"/>
      <c r="F208" s="55"/>
      <c r="G208" s="55"/>
      <c r="H208" s="55"/>
      <c r="I208" s="55"/>
    </row>
    <row r="209" spans="1:9" x14ac:dyDescent="0.4">
      <c r="A209" s="55"/>
      <c r="D209" s="55"/>
      <c r="E209" s="55"/>
      <c r="F209" s="55"/>
      <c r="G209" s="55"/>
      <c r="H209" s="55"/>
      <c r="I209" s="55"/>
    </row>
    <row r="210" spans="1:9" x14ac:dyDescent="0.4">
      <c r="A210" s="55"/>
      <c r="D210" s="55"/>
      <c r="E210" s="55"/>
      <c r="F210" s="55"/>
      <c r="G210" s="55"/>
      <c r="H210" s="55"/>
      <c r="I210" s="55"/>
    </row>
    <row r="211" spans="1:9" x14ac:dyDescent="0.4">
      <c r="A211" s="55"/>
      <c r="D211" s="55"/>
      <c r="E211" s="55"/>
      <c r="F211" s="55"/>
      <c r="G211" s="55"/>
      <c r="H211" s="55"/>
      <c r="I211" s="55"/>
    </row>
    <row r="212" spans="1:9" x14ac:dyDescent="0.4">
      <c r="A212" s="55"/>
      <c r="D212" s="55"/>
      <c r="E212" s="55"/>
      <c r="F212" s="55"/>
      <c r="G212" s="55"/>
      <c r="H212" s="55"/>
      <c r="I212" s="55"/>
    </row>
    <row r="213" spans="1:9" x14ac:dyDescent="0.4">
      <c r="A213" s="55"/>
      <c r="D213" s="55"/>
      <c r="E213" s="55"/>
      <c r="F213" s="55"/>
      <c r="G213" s="55"/>
      <c r="H213" s="55"/>
      <c r="I213" s="55"/>
    </row>
    <row r="214" spans="1:9" x14ac:dyDescent="0.4">
      <c r="A214" s="55"/>
      <c r="D214" s="55"/>
      <c r="E214" s="55"/>
      <c r="F214" s="55"/>
      <c r="G214" s="55"/>
      <c r="H214" s="55"/>
      <c r="I214" s="55"/>
    </row>
    <row r="215" spans="1:9" x14ac:dyDescent="0.4">
      <c r="A215" s="55"/>
      <c r="D215" s="55"/>
      <c r="E215" s="55"/>
      <c r="F215" s="55"/>
      <c r="G215" s="55"/>
      <c r="H215" s="55"/>
      <c r="I215" s="55"/>
    </row>
    <row r="216" spans="1:9" x14ac:dyDescent="0.4">
      <c r="A216" s="55"/>
      <c r="D216" s="55"/>
      <c r="E216" s="55"/>
      <c r="F216" s="55"/>
      <c r="G216" s="55"/>
      <c r="H216" s="55"/>
      <c r="I216" s="55"/>
    </row>
    <row r="217" spans="1:9" x14ac:dyDescent="0.4">
      <c r="A217" s="55"/>
      <c r="D217" s="55"/>
      <c r="E217" s="55"/>
      <c r="F217" s="55"/>
      <c r="G217" s="55"/>
      <c r="H217" s="55"/>
      <c r="I217" s="55"/>
    </row>
    <row r="218" spans="1:9" x14ac:dyDescent="0.4">
      <c r="A218" s="55"/>
      <c r="D218" s="55"/>
      <c r="E218" s="55"/>
      <c r="F218" s="55"/>
      <c r="G218" s="55"/>
      <c r="H218" s="55"/>
      <c r="I218" s="55"/>
    </row>
    <row r="219" spans="1:9" x14ac:dyDescent="0.4">
      <c r="A219" s="55"/>
      <c r="D219" s="55"/>
      <c r="E219" s="55"/>
      <c r="F219" s="55"/>
      <c r="G219" s="55"/>
      <c r="H219" s="55"/>
      <c r="I219" s="55"/>
    </row>
    <row r="220" spans="1:9" x14ac:dyDescent="0.4">
      <c r="A220" s="55"/>
      <c r="D220" s="55"/>
      <c r="E220" s="55"/>
      <c r="F220" s="55"/>
      <c r="G220" s="55"/>
      <c r="H220" s="55"/>
      <c r="I220" s="55"/>
    </row>
    <row r="221" spans="1:9" x14ac:dyDescent="0.4">
      <c r="A221" s="55"/>
      <c r="D221" s="55"/>
      <c r="E221" s="55"/>
      <c r="F221" s="55"/>
      <c r="G221" s="55"/>
      <c r="H221" s="55"/>
      <c r="I221" s="55"/>
    </row>
    <row r="222" spans="1:9" x14ac:dyDescent="0.4">
      <c r="A222" s="55"/>
      <c r="D222" s="55"/>
      <c r="E222" s="55"/>
      <c r="F222" s="55"/>
      <c r="G222" s="55"/>
      <c r="H222" s="55"/>
      <c r="I222" s="55"/>
    </row>
    <row r="223" spans="1:9" x14ac:dyDescent="0.4">
      <c r="A223" s="55"/>
      <c r="D223" s="55"/>
      <c r="E223" s="55"/>
      <c r="F223" s="55"/>
      <c r="G223" s="55"/>
      <c r="H223" s="55"/>
      <c r="I223" s="55"/>
    </row>
    <row r="224" spans="1:9" x14ac:dyDescent="0.4">
      <c r="A224" s="55"/>
      <c r="D224" s="55"/>
      <c r="E224" s="55"/>
      <c r="F224" s="55"/>
      <c r="G224" s="55"/>
      <c r="H224" s="55"/>
      <c r="I224" s="55"/>
    </row>
    <row r="225" spans="1:9" x14ac:dyDescent="0.4">
      <c r="A225" s="55"/>
      <c r="D225" s="55"/>
      <c r="E225" s="55"/>
      <c r="F225" s="55"/>
      <c r="G225" s="55"/>
      <c r="H225" s="55"/>
      <c r="I225" s="55"/>
    </row>
    <row r="226" spans="1:9" x14ac:dyDescent="0.4">
      <c r="A226" s="55"/>
      <c r="D226" s="55"/>
      <c r="E226" s="55"/>
      <c r="F226" s="55"/>
      <c r="G226" s="55"/>
      <c r="H226" s="55"/>
      <c r="I226" s="55"/>
    </row>
    <row r="227" spans="1:9" x14ac:dyDescent="0.4">
      <c r="A227" s="55"/>
      <c r="D227" s="55"/>
      <c r="E227" s="55"/>
      <c r="F227" s="55"/>
      <c r="G227" s="55"/>
      <c r="H227" s="55"/>
      <c r="I227" s="55"/>
    </row>
    <row r="228" spans="1:9" x14ac:dyDescent="0.4">
      <c r="A228" s="55"/>
      <c r="D228" s="55"/>
      <c r="E228" s="55"/>
      <c r="F228" s="55"/>
      <c r="G228" s="55"/>
      <c r="H228" s="55"/>
      <c r="I228" s="55"/>
    </row>
    <row r="229" spans="1:9" x14ac:dyDescent="0.4">
      <c r="A229" s="55"/>
      <c r="D229" s="55"/>
      <c r="E229" s="55"/>
      <c r="F229" s="55"/>
      <c r="G229" s="55"/>
      <c r="H229" s="55"/>
      <c r="I229" s="55"/>
    </row>
    <row r="230" spans="1:9" x14ac:dyDescent="0.4">
      <c r="A230" s="55"/>
      <c r="D230" s="55"/>
      <c r="E230" s="55"/>
      <c r="F230" s="55"/>
      <c r="G230" s="55"/>
      <c r="H230" s="55"/>
      <c r="I230" s="55"/>
    </row>
    <row r="231" spans="1:9" x14ac:dyDescent="0.4">
      <c r="A231" s="55"/>
      <c r="D231" s="55"/>
      <c r="E231" s="55"/>
      <c r="F231" s="55"/>
      <c r="G231" s="55"/>
      <c r="H231" s="55"/>
      <c r="I231" s="55"/>
    </row>
    <row r="232" spans="1:9" x14ac:dyDescent="0.4">
      <c r="A232" s="55"/>
      <c r="D232" s="55"/>
      <c r="E232" s="55"/>
      <c r="F232" s="55"/>
      <c r="G232" s="55"/>
      <c r="H232" s="55"/>
      <c r="I232" s="55"/>
    </row>
    <row r="233" spans="1:9" x14ac:dyDescent="0.4">
      <c r="A233" s="55"/>
      <c r="D233" s="55"/>
      <c r="E233" s="55"/>
      <c r="F233" s="55"/>
      <c r="G233" s="55"/>
      <c r="H233" s="55"/>
      <c r="I233" s="55"/>
    </row>
    <row r="234" spans="1:9" x14ac:dyDescent="0.4">
      <c r="A234" s="55"/>
      <c r="D234" s="55"/>
      <c r="E234" s="55"/>
      <c r="F234" s="55"/>
      <c r="G234" s="55"/>
      <c r="H234" s="55"/>
      <c r="I234" s="55"/>
    </row>
    <row r="235" spans="1:9" x14ac:dyDescent="0.4">
      <c r="A235" s="55"/>
      <c r="D235" s="55"/>
      <c r="E235" s="55"/>
      <c r="F235" s="55"/>
      <c r="G235" s="55"/>
      <c r="H235" s="55"/>
      <c r="I235" s="55"/>
    </row>
    <row r="236" spans="1:9" x14ac:dyDescent="0.4">
      <c r="A236" s="55"/>
      <c r="D236" s="55"/>
      <c r="E236" s="55"/>
      <c r="F236" s="55"/>
      <c r="G236" s="55"/>
      <c r="H236" s="55"/>
      <c r="I236" s="55"/>
    </row>
    <row r="237" spans="1:9" x14ac:dyDescent="0.4">
      <c r="A237" s="55"/>
      <c r="D237" s="55"/>
      <c r="E237" s="55"/>
      <c r="F237" s="55"/>
      <c r="G237" s="55"/>
      <c r="H237" s="55"/>
      <c r="I237" s="55"/>
    </row>
    <row r="238" spans="1:9" x14ac:dyDescent="0.4">
      <c r="A238" s="55"/>
      <c r="D238" s="55"/>
      <c r="E238" s="55"/>
      <c r="F238" s="55"/>
      <c r="G238" s="55"/>
      <c r="H238" s="55"/>
      <c r="I238" s="55"/>
    </row>
    <row r="239" spans="1:9" x14ac:dyDescent="0.4">
      <c r="A239" s="55"/>
      <c r="D239" s="55"/>
      <c r="E239" s="55"/>
      <c r="F239" s="55"/>
      <c r="G239" s="55"/>
      <c r="H239" s="55"/>
      <c r="I239" s="55"/>
    </row>
    <row r="240" spans="1:9" x14ac:dyDescent="0.4">
      <c r="A240" s="55"/>
      <c r="D240" s="55"/>
      <c r="E240" s="55"/>
      <c r="F240" s="55"/>
      <c r="G240" s="55"/>
      <c r="H240" s="55"/>
      <c r="I240" s="55"/>
    </row>
    <row r="241" spans="1:9" x14ac:dyDescent="0.4">
      <c r="A241" s="55"/>
      <c r="D241" s="55"/>
      <c r="E241" s="55"/>
      <c r="F241" s="55"/>
      <c r="G241" s="55"/>
      <c r="H241" s="55"/>
      <c r="I241" s="55"/>
    </row>
    <row r="242" spans="1:9" x14ac:dyDescent="0.4">
      <c r="A242" s="55"/>
      <c r="D242" s="55"/>
      <c r="E242" s="55"/>
      <c r="F242" s="55"/>
      <c r="G242" s="55"/>
      <c r="H242" s="55"/>
      <c r="I242" s="55"/>
    </row>
    <row r="243" spans="1:9" x14ac:dyDescent="0.4">
      <c r="A243" s="55"/>
      <c r="D243" s="55"/>
      <c r="E243" s="55"/>
      <c r="F243" s="55"/>
      <c r="G243" s="55"/>
      <c r="H243" s="55"/>
      <c r="I243" s="55"/>
    </row>
    <row r="244" spans="1:9" x14ac:dyDescent="0.4">
      <c r="A244" s="55"/>
      <c r="D244" s="55"/>
      <c r="E244" s="55"/>
      <c r="F244" s="55"/>
      <c r="G244" s="55"/>
      <c r="H244" s="55"/>
      <c r="I244" s="55"/>
    </row>
    <row r="245" spans="1:9" x14ac:dyDescent="0.4">
      <c r="A245" s="55"/>
      <c r="D245" s="55"/>
      <c r="E245" s="55"/>
      <c r="F245" s="55"/>
      <c r="G245" s="55"/>
      <c r="H245" s="55"/>
      <c r="I245" s="55"/>
    </row>
    <row r="246" spans="1:9" x14ac:dyDescent="0.4">
      <c r="A246" s="55"/>
      <c r="D246" s="55"/>
      <c r="E246" s="55"/>
      <c r="F246" s="55"/>
      <c r="G246" s="55"/>
      <c r="H246" s="55"/>
      <c r="I246" s="55"/>
    </row>
    <row r="247" spans="1:9" x14ac:dyDescent="0.4">
      <c r="A247" s="55"/>
      <c r="D247" s="55"/>
      <c r="E247" s="55"/>
      <c r="F247" s="55"/>
      <c r="G247" s="55"/>
      <c r="H247" s="55"/>
      <c r="I247" s="55"/>
    </row>
    <row r="248" spans="1:9" x14ac:dyDescent="0.4">
      <c r="A248" s="55"/>
      <c r="D248" s="55"/>
      <c r="E248" s="55"/>
      <c r="F248" s="55"/>
      <c r="G248" s="55"/>
      <c r="H248" s="55"/>
      <c r="I248" s="55"/>
    </row>
    <row r="249" spans="1:9" x14ac:dyDescent="0.4">
      <c r="A249" s="55"/>
      <c r="D249" s="55"/>
      <c r="E249" s="55"/>
      <c r="F249" s="55"/>
      <c r="G249" s="55"/>
      <c r="H249" s="55"/>
      <c r="I249" s="55"/>
    </row>
    <row r="250" spans="1:9" x14ac:dyDescent="0.4">
      <c r="A250" s="55"/>
      <c r="D250" s="55"/>
      <c r="E250" s="55"/>
      <c r="F250" s="55"/>
      <c r="G250" s="55"/>
      <c r="H250" s="55"/>
      <c r="I250" s="55"/>
    </row>
    <row r="251" spans="1:9" x14ac:dyDescent="0.4">
      <c r="A251" s="55"/>
      <c r="D251" s="55"/>
      <c r="E251" s="55"/>
      <c r="F251" s="55"/>
      <c r="G251" s="55"/>
      <c r="H251" s="55"/>
      <c r="I251" s="55"/>
    </row>
    <row r="252" spans="1:9" x14ac:dyDescent="0.4">
      <c r="A252" s="55"/>
      <c r="D252" s="55"/>
      <c r="E252" s="55"/>
      <c r="F252" s="55"/>
      <c r="G252" s="55"/>
      <c r="H252" s="55"/>
      <c r="I252" s="55"/>
    </row>
    <row r="253" spans="1:9" x14ac:dyDescent="0.4">
      <c r="A253" s="55"/>
      <c r="D253" s="55"/>
      <c r="E253" s="55"/>
      <c r="F253" s="55"/>
      <c r="G253" s="55"/>
      <c r="H253" s="55"/>
      <c r="I253" s="55"/>
    </row>
    <row r="254" spans="1:9" x14ac:dyDescent="0.4">
      <c r="A254" s="55"/>
      <c r="D254" s="55"/>
      <c r="E254" s="55"/>
      <c r="F254" s="55"/>
      <c r="G254" s="55"/>
      <c r="H254" s="55"/>
      <c r="I254" s="55"/>
    </row>
    <row r="255" spans="1:9" x14ac:dyDescent="0.4">
      <c r="A255" s="55"/>
      <c r="D255" s="55"/>
      <c r="E255" s="55"/>
      <c r="F255" s="55"/>
      <c r="G255" s="55"/>
      <c r="H255" s="55"/>
      <c r="I255" s="55"/>
    </row>
    <row r="256" spans="1:9" x14ac:dyDescent="0.4">
      <c r="A256" s="55"/>
      <c r="D256" s="55"/>
      <c r="E256" s="55"/>
      <c r="F256" s="55"/>
      <c r="G256" s="55"/>
      <c r="H256" s="55"/>
      <c r="I256" s="55"/>
    </row>
    <row r="257" spans="1:9" x14ac:dyDescent="0.4">
      <c r="A257" s="55"/>
      <c r="D257" s="55"/>
      <c r="E257" s="55"/>
      <c r="F257" s="55"/>
      <c r="G257" s="55"/>
      <c r="H257" s="55"/>
      <c r="I257" s="55"/>
    </row>
    <row r="258" spans="1:9" x14ac:dyDescent="0.4">
      <c r="A258" s="55"/>
      <c r="D258" s="55"/>
      <c r="E258" s="55"/>
      <c r="F258" s="55"/>
      <c r="G258" s="55"/>
      <c r="H258" s="55"/>
      <c r="I258" s="55"/>
    </row>
    <row r="259" spans="1:9" x14ac:dyDescent="0.4">
      <c r="A259" s="55"/>
      <c r="D259" s="55"/>
      <c r="E259" s="55"/>
      <c r="F259" s="55"/>
      <c r="G259" s="55"/>
      <c r="H259" s="55"/>
      <c r="I259" s="55"/>
    </row>
    <row r="260" spans="1:9" x14ac:dyDescent="0.4">
      <c r="A260" s="55"/>
      <c r="D260" s="55"/>
      <c r="E260" s="55"/>
      <c r="F260" s="55"/>
      <c r="G260" s="55"/>
      <c r="H260" s="55"/>
      <c r="I260" s="55"/>
    </row>
    <row r="261" spans="1:9" x14ac:dyDescent="0.4">
      <c r="A261" s="55"/>
      <c r="D261" s="55"/>
      <c r="E261" s="55"/>
      <c r="F261" s="55"/>
      <c r="G261" s="55"/>
      <c r="H261" s="55"/>
      <c r="I261" s="55"/>
    </row>
    <row r="262" spans="1:9" x14ac:dyDescent="0.4">
      <c r="A262" s="55"/>
      <c r="D262" s="55"/>
      <c r="E262" s="55"/>
      <c r="F262" s="55"/>
      <c r="G262" s="55"/>
      <c r="H262" s="55"/>
      <c r="I262" s="55"/>
    </row>
    <row r="263" spans="1:9" x14ac:dyDescent="0.4">
      <c r="A263" s="55"/>
      <c r="D263" s="55"/>
      <c r="E263" s="55"/>
      <c r="F263" s="55"/>
      <c r="G263" s="55"/>
      <c r="H263" s="55"/>
      <c r="I263" s="55"/>
    </row>
    <row r="264" spans="1:9" x14ac:dyDescent="0.4">
      <c r="A264" s="55"/>
      <c r="D264" s="55"/>
      <c r="E264" s="55"/>
      <c r="F264" s="55"/>
      <c r="G264" s="55"/>
      <c r="H264" s="55"/>
      <c r="I264" s="55"/>
    </row>
    <row r="265" spans="1:9" x14ac:dyDescent="0.4">
      <c r="A265" s="55"/>
      <c r="D265" s="55"/>
      <c r="E265" s="55"/>
      <c r="F265" s="55"/>
      <c r="G265" s="55"/>
      <c r="H265" s="55"/>
      <c r="I265" s="55"/>
    </row>
    <row r="266" spans="1:9" x14ac:dyDescent="0.4">
      <c r="A266" s="55"/>
      <c r="D266" s="55"/>
      <c r="E266" s="55"/>
      <c r="F266" s="55"/>
      <c r="G266" s="55"/>
      <c r="H266" s="55"/>
      <c r="I266" s="55"/>
    </row>
    <row r="267" spans="1:9" x14ac:dyDescent="0.4">
      <c r="A267" s="55"/>
      <c r="D267" s="55"/>
      <c r="E267" s="55"/>
      <c r="F267" s="55"/>
      <c r="G267" s="55"/>
      <c r="H267" s="55"/>
      <c r="I267" s="55"/>
    </row>
    <row r="268" spans="1:9" x14ac:dyDescent="0.4">
      <c r="A268" s="55"/>
      <c r="D268" s="55"/>
      <c r="E268" s="55"/>
      <c r="F268" s="55"/>
      <c r="G268" s="55"/>
      <c r="H268" s="55"/>
      <c r="I268" s="55"/>
    </row>
    <row r="269" spans="1:9" x14ac:dyDescent="0.4">
      <c r="A269" s="55"/>
      <c r="D269" s="55"/>
      <c r="E269" s="55"/>
      <c r="F269" s="55"/>
      <c r="G269" s="55"/>
      <c r="H269" s="55"/>
      <c r="I269" s="55"/>
    </row>
    <row r="270" spans="1:9" x14ac:dyDescent="0.4">
      <c r="A270" s="55"/>
      <c r="D270" s="55"/>
      <c r="E270" s="55"/>
      <c r="F270" s="55"/>
      <c r="G270" s="55"/>
      <c r="H270" s="55"/>
      <c r="I270" s="55"/>
    </row>
    <row r="271" spans="1:9" x14ac:dyDescent="0.4">
      <c r="A271" s="55"/>
      <c r="D271" s="55"/>
      <c r="E271" s="55"/>
      <c r="F271" s="55"/>
      <c r="G271" s="55"/>
      <c r="H271" s="55"/>
      <c r="I271" s="55"/>
    </row>
    <row r="272" spans="1:9" x14ac:dyDescent="0.4">
      <c r="A272" s="55"/>
      <c r="D272" s="55"/>
      <c r="E272" s="55"/>
      <c r="F272" s="55"/>
      <c r="G272" s="55"/>
      <c r="H272" s="55"/>
      <c r="I272" s="55"/>
    </row>
    <row r="273" spans="1:9" x14ac:dyDescent="0.4">
      <c r="A273" s="55"/>
      <c r="D273" s="55"/>
      <c r="E273" s="55"/>
      <c r="F273" s="55"/>
      <c r="G273" s="55"/>
      <c r="H273" s="55"/>
      <c r="I273" s="55"/>
    </row>
    <row r="274" spans="1:9" x14ac:dyDescent="0.4">
      <c r="A274" s="55"/>
      <c r="D274" s="55"/>
      <c r="E274" s="55"/>
      <c r="F274" s="55"/>
      <c r="G274" s="55"/>
      <c r="H274" s="55"/>
      <c r="I274" s="55"/>
    </row>
    <row r="275" spans="1:9" x14ac:dyDescent="0.4">
      <c r="A275" s="55"/>
      <c r="D275" s="55"/>
      <c r="E275" s="55"/>
      <c r="F275" s="55"/>
      <c r="G275" s="55"/>
      <c r="H275" s="55"/>
      <c r="I275" s="55"/>
    </row>
    <row r="276" spans="1:9" x14ac:dyDescent="0.4">
      <c r="A276" s="55"/>
      <c r="D276" s="55"/>
      <c r="E276" s="55"/>
      <c r="F276" s="55"/>
      <c r="G276" s="55"/>
      <c r="H276" s="55"/>
      <c r="I276" s="55"/>
    </row>
    <row r="277" spans="1:9" x14ac:dyDescent="0.4">
      <c r="A277" s="55"/>
      <c r="D277" s="55"/>
      <c r="E277" s="55"/>
      <c r="F277" s="55"/>
      <c r="G277" s="55"/>
      <c r="H277" s="55"/>
      <c r="I277" s="55"/>
    </row>
    <row r="278" spans="1:9" x14ac:dyDescent="0.4">
      <c r="A278" s="55"/>
      <c r="D278" s="55"/>
      <c r="E278" s="55"/>
      <c r="F278" s="55"/>
      <c r="G278" s="55"/>
      <c r="H278" s="55"/>
      <c r="I278" s="55"/>
    </row>
    <row r="279" spans="1:9" x14ac:dyDescent="0.4">
      <c r="A279" s="55"/>
      <c r="D279" s="55"/>
      <c r="E279" s="55"/>
      <c r="F279" s="55"/>
      <c r="G279" s="55"/>
      <c r="H279" s="55"/>
      <c r="I279" s="55"/>
    </row>
    <row r="280" spans="1:9" x14ac:dyDescent="0.4">
      <c r="A280" s="55"/>
      <c r="D280" s="55"/>
      <c r="E280" s="55"/>
      <c r="F280" s="55"/>
      <c r="G280" s="55"/>
      <c r="H280" s="55"/>
      <c r="I280" s="55"/>
    </row>
    <row r="281" spans="1:9" x14ac:dyDescent="0.4">
      <c r="A281" s="55"/>
      <c r="D281" s="55"/>
      <c r="E281" s="55"/>
      <c r="F281" s="55"/>
      <c r="G281" s="55"/>
      <c r="H281" s="55"/>
      <c r="I281" s="55"/>
    </row>
    <row r="282" spans="1:9" x14ac:dyDescent="0.4">
      <c r="A282" s="55"/>
      <c r="D282" s="55"/>
      <c r="E282" s="55"/>
      <c r="F282" s="55"/>
      <c r="G282" s="55"/>
      <c r="H282" s="55"/>
      <c r="I282" s="55"/>
    </row>
    <row r="283" spans="1:9" x14ac:dyDescent="0.4">
      <c r="A283" s="55"/>
      <c r="D283" s="55"/>
      <c r="E283" s="55"/>
      <c r="F283" s="55"/>
      <c r="G283" s="55"/>
      <c r="H283" s="55"/>
      <c r="I283" s="55"/>
    </row>
    <row r="284" spans="1:9" x14ac:dyDescent="0.4">
      <c r="A284" s="55"/>
      <c r="D284" s="55"/>
      <c r="E284" s="55"/>
      <c r="F284" s="55"/>
      <c r="G284" s="55"/>
      <c r="H284" s="55"/>
      <c r="I284" s="55"/>
    </row>
    <row r="285" spans="1:9" x14ac:dyDescent="0.4">
      <c r="A285" s="55"/>
      <c r="D285" s="55"/>
      <c r="E285" s="55"/>
      <c r="F285" s="55"/>
      <c r="G285" s="55"/>
      <c r="H285" s="55"/>
      <c r="I285" s="55"/>
    </row>
    <row r="286" spans="1:9" x14ac:dyDescent="0.4">
      <c r="A286" s="55"/>
      <c r="D286" s="55"/>
      <c r="E286" s="55"/>
      <c r="F286" s="55"/>
      <c r="G286" s="55"/>
      <c r="H286" s="55"/>
      <c r="I286" s="55"/>
    </row>
    <row r="287" spans="1:9" x14ac:dyDescent="0.4">
      <c r="A287" s="55"/>
      <c r="D287" s="55"/>
      <c r="E287" s="55"/>
      <c r="F287" s="55"/>
      <c r="G287" s="55"/>
      <c r="H287" s="55"/>
      <c r="I287" s="55"/>
    </row>
    <row r="288" spans="1:9" x14ac:dyDescent="0.4">
      <c r="A288" s="55"/>
      <c r="D288" s="55"/>
      <c r="E288" s="55"/>
      <c r="F288" s="55"/>
      <c r="G288" s="55"/>
      <c r="H288" s="55"/>
      <c r="I288" s="55"/>
    </row>
    <row r="289" spans="1:9" x14ac:dyDescent="0.4">
      <c r="A289" s="55"/>
      <c r="D289" s="55"/>
      <c r="E289" s="55"/>
      <c r="F289" s="55"/>
      <c r="G289" s="55"/>
      <c r="H289" s="55"/>
      <c r="I289" s="55"/>
    </row>
    <row r="290" spans="1:9" x14ac:dyDescent="0.4">
      <c r="A290" s="55"/>
      <c r="D290" s="55"/>
      <c r="E290" s="55"/>
      <c r="F290" s="55"/>
      <c r="G290" s="55"/>
      <c r="H290" s="55"/>
      <c r="I290" s="55"/>
    </row>
    <row r="291" spans="1:9" x14ac:dyDescent="0.4">
      <c r="A291" s="55"/>
      <c r="D291" s="55"/>
      <c r="E291" s="55"/>
      <c r="F291" s="55"/>
      <c r="G291" s="55"/>
      <c r="H291" s="55"/>
      <c r="I291" s="55"/>
    </row>
    <row r="292" spans="1:9" x14ac:dyDescent="0.4">
      <c r="A292" s="55"/>
      <c r="D292" s="55"/>
      <c r="E292" s="55"/>
      <c r="F292" s="55"/>
      <c r="G292" s="55"/>
      <c r="H292" s="55"/>
      <c r="I292" s="55"/>
    </row>
    <row r="293" spans="1:9" x14ac:dyDescent="0.4">
      <c r="A293" s="55"/>
      <c r="D293" s="55"/>
      <c r="E293" s="55"/>
      <c r="F293" s="55"/>
      <c r="G293" s="55"/>
      <c r="H293" s="55"/>
      <c r="I293" s="55"/>
    </row>
    <row r="294" spans="1:9" x14ac:dyDescent="0.4">
      <c r="A294" s="55"/>
      <c r="D294" s="55"/>
      <c r="E294" s="55"/>
      <c r="F294" s="55"/>
      <c r="G294" s="55"/>
      <c r="H294" s="55"/>
      <c r="I294" s="55"/>
    </row>
    <row r="295" spans="1:9" x14ac:dyDescent="0.4">
      <c r="A295" s="55"/>
      <c r="D295" s="55"/>
      <c r="E295" s="55"/>
      <c r="F295" s="55"/>
      <c r="G295" s="55"/>
      <c r="H295" s="55"/>
      <c r="I295" s="55"/>
    </row>
    <row r="296" spans="1:9" x14ac:dyDescent="0.4">
      <c r="A296" s="55"/>
      <c r="D296" s="55"/>
      <c r="E296" s="55"/>
      <c r="F296" s="55"/>
      <c r="G296" s="55"/>
      <c r="H296" s="55"/>
      <c r="I296" s="55"/>
    </row>
    <row r="297" spans="1:9" x14ac:dyDescent="0.4">
      <c r="A297" s="55"/>
      <c r="D297" s="55"/>
      <c r="E297" s="55"/>
      <c r="F297" s="55"/>
      <c r="G297" s="55"/>
      <c r="H297" s="55"/>
      <c r="I297" s="55"/>
    </row>
    <row r="298" spans="1:9" x14ac:dyDescent="0.4">
      <c r="A298" s="55"/>
      <c r="D298" s="55"/>
      <c r="E298" s="55"/>
      <c r="F298" s="55"/>
      <c r="G298" s="55"/>
      <c r="H298" s="55"/>
      <c r="I298" s="55"/>
    </row>
    <row r="299" spans="1:9" x14ac:dyDescent="0.4">
      <c r="A299" s="55"/>
      <c r="D299" s="55"/>
      <c r="E299" s="55"/>
      <c r="F299" s="55"/>
      <c r="G299" s="55"/>
      <c r="H299" s="55"/>
      <c r="I299" s="55"/>
    </row>
    <row r="300" spans="1:9" x14ac:dyDescent="0.4">
      <c r="A300" s="55"/>
      <c r="D300" s="55"/>
      <c r="E300" s="55"/>
      <c r="F300" s="55"/>
      <c r="G300" s="55"/>
      <c r="H300" s="55"/>
      <c r="I300" s="55"/>
    </row>
    <row r="301" spans="1:9" x14ac:dyDescent="0.4">
      <c r="A301" s="55"/>
      <c r="D301" s="55"/>
      <c r="E301" s="55"/>
      <c r="F301" s="55"/>
      <c r="G301" s="55"/>
      <c r="H301" s="55"/>
      <c r="I301" s="55"/>
    </row>
    <row r="302" spans="1:9" x14ac:dyDescent="0.4">
      <c r="A302" s="55"/>
      <c r="D302" s="55"/>
      <c r="E302" s="55"/>
      <c r="F302" s="55"/>
      <c r="G302" s="55"/>
      <c r="H302" s="55"/>
      <c r="I302" s="55"/>
    </row>
    <row r="303" spans="1:9" x14ac:dyDescent="0.4">
      <c r="A303" s="55"/>
      <c r="D303" s="55"/>
      <c r="E303" s="55"/>
      <c r="F303" s="55"/>
      <c r="G303" s="55"/>
      <c r="H303" s="55"/>
      <c r="I303" s="55"/>
    </row>
    <row r="304" spans="1:9" x14ac:dyDescent="0.4">
      <c r="A304" s="55"/>
      <c r="D304" s="55"/>
      <c r="E304" s="55"/>
      <c r="F304" s="55"/>
      <c r="G304" s="55"/>
      <c r="H304" s="55"/>
      <c r="I304" s="55"/>
    </row>
    <row r="305" spans="1:9" x14ac:dyDescent="0.4">
      <c r="A305" s="55"/>
      <c r="D305" s="55"/>
      <c r="E305" s="55"/>
      <c r="F305" s="55"/>
      <c r="G305" s="55"/>
      <c r="H305" s="55"/>
      <c r="I305" s="55"/>
    </row>
    <row r="306" spans="1:9" x14ac:dyDescent="0.4">
      <c r="A306" s="55"/>
      <c r="D306" s="55"/>
      <c r="E306" s="55"/>
      <c r="F306" s="55"/>
      <c r="G306" s="55"/>
      <c r="H306" s="55"/>
      <c r="I306" s="55"/>
    </row>
    <row r="307" spans="1:9" x14ac:dyDescent="0.4">
      <c r="A307" s="55"/>
      <c r="D307" s="55"/>
      <c r="E307" s="55"/>
      <c r="F307" s="55"/>
      <c r="G307" s="55"/>
      <c r="H307" s="55"/>
      <c r="I307" s="55"/>
    </row>
    <row r="308" spans="1:9" x14ac:dyDescent="0.4">
      <c r="A308" s="55"/>
      <c r="D308" s="55"/>
      <c r="E308" s="55"/>
      <c r="F308" s="55"/>
      <c r="G308" s="55"/>
      <c r="H308" s="55"/>
      <c r="I308" s="55"/>
    </row>
    <row r="309" spans="1:9" x14ac:dyDescent="0.4">
      <c r="A309" s="55"/>
      <c r="D309" s="55"/>
      <c r="E309" s="55"/>
      <c r="F309" s="55"/>
      <c r="G309" s="55"/>
      <c r="H309" s="55"/>
      <c r="I309" s="55"/>
    </row>
    <row r="310" spans="1:9" x14ac:dyDescent="0.4">
      <c r="A310" s="55"/>
      <c r="D310" s="55"/>
      <c r="E310" s="55"/>
      <c r="F310" s="55"/>
      <c r="G310" s="55"/>
      <c r="H310" s="55"/>
      <c r="I310" s="55"/>
    </row>
    <row r="311" spans="1:9" x14ac:dyDescent="0.4">
      <c r="A311" s="55"/>
      <c r="D311" s="55"/>
      <c r="E311" s="55"/>
      <c r="F311" s="55"/>
      <c r="G311" s="55"/>
      <c r="H311" s="55"/>
      <c r="I311" s="55"/>
    </row>
    <row r="312" spans="1:9" x14ac:dyDescent="0.4">
      <c r="A312" s="55"/>
      <c r="D312" s="55"/>
      <c r="E312" s="55"/>
      <c r="F312" s="55"/>
      <c r="G312" s="55"/>
      <c r="H312" s="55"/>
      <c r="I312" s="55"/>
    </row>
    <row r="313" spans="1:9" x14ac:dyDescent="0.4">
      <c r="A313" s="55"/>
      <c r="D313" s="55"/>
      <c r="E313" s="55"/>
      <c r="F313" s="55"/>
      <c r="G313" s="55"/>
      <c r="H313" s="55"/>
      <c r="I313" s="55"/>
    </row>
    <row r="314" spans="1:9" x14ac:dyDescent="0.4">
      <c r="A314" s="55"/>
      <c r="D314" s="55"/>
      <c r="E314" s="55"/>
      <c r="F314" s="55"/>
      <c r="G314" s="55"/>
      <c r="H314" s="55"/>
      <c r="I314" s="55"/>
    </row>
    <row r="315" spans="1:9" x14ac:dyDescent="0.4">
      <c r="A315" s="55"/>
      <c r="D315" s="55"/>
      <c r="E315" s="55"/>
      <c r="F315" s="55"/>
      <c r="G315" s="55"/>
      <c r="H315" s="55"/>
      <c r="I315" s="55"/>
    </row>
    <row r="316" spans="1:9" x14ac:dyDescent="0.4">
      <c r="A316" s="55"/>
      <c r="D316" s="55"/>
      <c r="E316" s="55"/>
      <c r="F316" s="55"/>
      <c r="G316" s="55"/>
      <c r="H316" s="55"/>
      <c r="I316" s="55"/>
    </row>
    <row r="317" spans="1:9" x14ac:dyDescent="0.4">
      <c r="A317" s="55"/>
      <c r="D317" s="55"/>
      <c r="E317" s="55"/>
      <c r="F317" s="55"/>
      <c r="G317" s="55"/>
      <c r="H317" s="55"/>
      <c r="I317" s="55"/>
    </row>
    <row r="318" spans="1:9" x14ac:dyDescent="0.4">
      <c r="A318" s="55"/>
      <c r="D318" s="55"/>
      <c r="E318" s="55"/>
      <c r="F318" s="55"/>
      <c r="G318" s="55"/>
      <c r="H318" s="55"/>
      <c r="I318" s="55"/>
    </row>
    <row r="319" spans="1:9" x14ac:dyDescent="0.4">
      <c r="A319" s="55"/>
      <c r="D319" s="55"/>
      <c r="E319" s="55"/>
      <c r="F319" s="55"/>
      <c r="G319" s="55"/>
      <c r="H319" s="55"/>
      <c r="I319" s="55"/>
    </row>
    <row r="320" spans="1:9" x14ac:dyDescent="0.4">
      <c r="A320" s="55"/>
      <c r="D320" s="55"/>
      <c r="E320" s="55"/>
      <c r="F320" s="55"/>
      <c r="G320" s="55"/>
      <c r="H320" s="55"/>
      <c r="I320" s="55"/>
    </row>
    <row r="321" spans="1:9" x14ac:dyDescent="0.4">
      <c r="A321" s="55"/>
      <c r="D321" s="55"/>
      <c r="E321" s="55"/>
      <c r="F321" s="55"/>
      <c r="G321" s="55"/>
      <c r="H321" s="55"/>
      <c r="I321" s="55"/>
    </row>
    <row r="322" spans="1:9" x14ac:dyDescent="0.4">
      <c r="A322" s="55"/>
      <c r="D322" s="55"/>
      <c r="E322" s="55"/>
      <c r="F322" s="55"/>
      <c r="G322" s="55"/>
      <c r="H322" s="55"/>
      <c r="I322" s="55"/>
    </row>
    <row r="323" spans="1:9" x14ac:dyDescent="0.4">
      <c r="A323" s="55"/>
      <c r="D323" s="55"/>
      <c r="E323" s="55"/>
      <c r="F323" s="55"/>
      <c r="G323" s="55"/>
      <c r="H323" s="55"/>
      <c r="I323" s="55"/>
    </row>
    <row r="324" spans="1:9" x14ac:dyDescent="0.4">
      <c r="A324" s="55"/>
      <c r="D324" s="55"/>
      <c r="E324" s="55"/>
      <c r="F324" s="55"/>
      <c r="G324" s="55"/>
      <c r="H324" s="55"/>
      <c r="I324" s="55"/>
    </row>
    <row r="325" spans="1:9" x14ac:dyDescent="0.4">
      <c r="A325" s="55"/>
      <c r="D325" s="55"/>
      <c r="E325" s="55"/>
      <c r="F325" s="55"/>
      <c r="G325" s="55"/>
      <c r="H325" s="55"/>
      <c r="I325" s="55"/>
    </row>
    <row r="326" spans="1:9" x14ac:dyDescent="0.4">
      <c r="A326" s="55"/>
      <c r="D326" s="55"/>
      <c r="E326" s="55"/>
      <c r="F326" s="55"/>
      <c r="G326" s="55"/>
      <c r="H326" s="55"/>
      <c r="I326" s="55"/>
    </row>
    <row r="327" spans="1:9" x14ac:dyDescent="0.4">
      <c r="A327" s="55"/>
      <c r="D327" s="55"/>
      <c r="E327" s="55"/>
      <c r="F327" s="55"/>
      <c r="G327" s="55"/>
      <c r="H327" s="55"/>
      <c r="I327" s="55"/>
    </row>
    <row r="328" spans="1:9" x14ac:dyDescent="0.4">
      <c r="A328" s="55"/>
      <c r="D328" s="55"/>
      <c r="E328" s="55"/>
      <c r="F328" s="55"/>
      <c r="G328" s="55"/>
      <c r="H328" s="55"/>
      <c r="I328" s="55"/>
    </row>
    <row r="329" spans="1:9" x14ac:dyDescent="0.4">
      <c r="A329" s="55"/>
      <c r="D329" s="55"/>
      <c r="E329" s="55"/>
      <c r="F329" s="55"/>
      <c r="G329" s="55"/>
      <c r="H329" s="55"/>
      <c r="I329" s="55"/>
    </row>
    <row r="330" spans="1:9" x14ac:dyDescent="0.4">
      <c r="A330" s="55"/>
      <c r="D330" s="55"/>
      <c r="E330" s="55"/>
      <c r="F330" s="55"/>
      <c r="G330" s="55"/>
      <c r="H330" s="55"/>
      <c r="I330" s="55"/>
    </row>
    <row r="331" spans="1:9" x14ac:dyDescent="0.4">
      <c r="A331" s="55"/>
      <c r="D331" s="55"/>
      <c r="E331" s="55"/>
      <c r="F331" s="55"/>
      <c r="G331" s="55"/>
      <c r="H331" s="55"/>
      <c r="I331" s="55"/>
    </row>
    <row r="332" spans="1:9" x14ac:dyDescent="0.4">
      <c r="A332" s="55"/>
      <c r="D332" s="55"/>
      <c r="E332" s="55"/>
      <c r="F332" s="55"/>
      <c r="G332" s="55"/>
      <c r="H332" s="55"/>
      <c r="I332" s="55"/>
    </row>
    <row r="333" spans="1:9" x14ac:dyDescent="0.4">
      <c r="A333" s="55"/>
      <c r="D333" s="55"/>
      <c r="E333" s="55"/>
      <c r="F333" s="55"/>
      <c r="G333" s="55"/>
      <c r="H333" s="55"/>
      <c r="I333" s="55"/>
    </row>
    <row r="334" spans="1:9" x14ac:dyDescent="0.4">
      <c r="A334" s="55"/>
      <c r="D334" s="55"/>
      <c r="E334" s="55"/>
      <c r="F334" s="55"/>
      <c r="G334" s="55"/>
      <c r="H334" s="55"/>
      <c r="I334" s="55"/>
    </row>
    <row r="335" spans="1:9" x14ac:dyDescent="0.4">
      <c r="A335" s="55"/>
      <c r="D335" s="55"/>
      <c r="E335" s="55"/>
      <c r="F335" s="55"/>
      <c r="G335" s="55"/>
      <c r="H335" s="55"/>
      <c r="I335" s="55"/>
    </row>
    <row r="336" spans="1:9" x14ac:dyDescent="0.4">
      <c r="A336" s="55"/>
      <c r="D336" s="55"/>
      <c r="E336" s="55"/>
      <c r="F336" s="55"/>
      <c r="G336" s="55"/>
      <c r="H336" s="55"/>
      <c r="I336" s="55"/>
    </row>
    <row r="337" spans="1:9" x14ac:dyDescent="0.4">
      <c r="A337" s="55"/>
      <c r="D337" s="55"/>
      <c r="E337" s="55"/>
      <c r="F337" s="55"/>
      <c r="G337" s="55"/>
      <c r="H337" s="55"/>
      <c r="I337" s="55"/>
    </row>
    <row r="338" spans="1:9" x14ac:dyDescent="0.4">
      <c r="A338" s="55"/>
      <c r="D338" s="55"/>
      <c r="E338" s="55"/>
      <c r="F338" s="55"/>
      <c r="G338" s="55"/>
      <c r="H338" s="55"/>
      <c r="I338" s="55"/>
    </row>
    <row r="339" spans="1:9" x14ac:dyDescent="0.4">
      <c r="A339" s="55"/>
      <c r="D339" s="55"/>
      <c r="E339" s="55"/>
      <c r="F339" s="55"/>
      <c r="G339" s="55"/>
      <c r="H339" s="55"/>
      <c r="I339" s="55"/>
    </row>
    <row r="340" spans="1:9" x14ac:dyDescent="0.4">
      <c r="A340" s="55"/>
      <c r="D340" s="55"/>
      <c r="E340" s="55"/>
      <c r="F340" s="55"/>
      <c r="G340" s="55"/>
      <c r="H340" s="55"/>
      <c r="I340" s="55"/>
    </row>
    <row r="341" spans="1:9" x14ac:dyDescent="0.4">
      <c r="A341" s="55"/>
      <c r="D341" s="55"/>
      <c r="E341" s="55"/>
      <c r="F341" s="55"/>
      <c r="G341" s="55"/>
      <c r="H341" s="55"/>
      <c r="I341" s="55"/>
    </row>
    <row r="342" spans="1:9" x14ac:dyDescent="0.4">
      <c r="A342" s="55"/>
      <c r="D342" s="55"/>
      <c r="E342" s="55"/>
      <c r="F342" s="55"/>
      <c r="G342" s="55"/>
      <c r="H342" s="55"/>
      <c r="I342" s="55"/>
    </row>
    <row r="343" spans="1:9" x14ac:dyDescent="0.4">
      <c r="A343" s="55"/>
      <c r="D343" s="55"/>
      <c r="E343" s="55"/>
      <c r="F343" s="55"/>
      <c r="G343" s="55"/>
      <c r="H343" s="55"/>
      <c r="I343" s="55"/>
    </row>
    <row r="344" spans="1:9" x14ac:dyDescent="0.4">
      <c r="A344" s="55"/>
      <c r="D344" s="55"/>
      <c r="E344" s="55"/>
      <c r="F344" s="55"/>
      <c r="G344" s="55"/>
      <c r="H344" s="55"/>
      <c r="I344" s="55"/>
    </row>
    <row r="345" spans="1:9" x14ac:dyDescent="0.4">
      <c r="A345" s="55"/>
      <c r="D345" s="55"/>
      <c r="E345" s="55"/>
      <c r="F345" s="55"/>
      <c r="G345" s="55"/>
      <c r="H345" s="55"/>
      <c r="I345" s="55"/>
    </row>
    <row r="346" spans="1:9" x14ac:dyDescent="0.4">
      <c r="A346" s="55"/>
      <c r="D346" s="55"/>
      <c r="E346" s="55"/>
      <c r="F346" s="55"/>
      <c r="G346" s="55"/>
      <c r="H346" s="55"/>
      <c r="I346" s="55"/>
    </row>
    <row r="347" spans="1:9" x14ac:dyDescent="0.4">
      <c r="A347" s="55"/>
      <c r="D347" s="55"/>
      <c r="E347" s="55"/>
      <c r="F347" s="55"/>
      <c r="G347" s="55"/>
      <c r="H347" s="55"/>
      <c r="I347" s="55"/>
    </row>
    <row r="348" spans="1:9" x14ac:dyDescent="0.4">
      <c r="A348" s="55"/>
      <c r="D348" s="55"/>
      <c r="E348" s="55"/>
      <c r="F348" s="55"/>
      <c r="G348" s="55"/>
      <c r="H348" s="55"/>
      <c r="I348" s="55"/>
    </row>
    <row r="349" spans="1:9" x14ac:dyDescent="0.4">
      <c r="A349" s="55"/>
      <c r="D349" s="55"/>
      <c r="E349" s="55"/>
      <c r="F349" s="55"/>
      <c r="G349" s="55"/>
      <c r="H349" s="55"/>
      <c r="I349" s="55"/>
    </row>
    <row r="350" spans="1:9" x14ac:dyDescent="0.4">
      <c r="A350" s="55"/>
      <c r="D350" s="55"/>
      <c r="E350" s="55"/>
      <c r="F350" s="55"/>
      <c r="G350" s="55"/>
      <c r="H350" s="55"/>
      <c r="I350" s="55"/>
    </row>
    <row r="351" spans="1:9" x14ac:dyDescent="0.4">
      <c r="A351" s="55"/>
      <c r="D351" s="55"/>
      <c r="E351" s="55"/>
      <c r="F351" s="55"/>
      <c r="G351" s="55"/>
      <c r="H351" s="55"/>
      <c r="I351" s="55"/>
    </row>
    <row r="352" spans="1:9" x14ac:dyDescent="0.4">
      <c r="A352" s="55"/>
      <c r="D352" s="55"/>
      <c r="E352" s="55"/>
      <c r="F352" s="55"/>
      <c r="G352" s="55"/>
      <c r="H352" s="55"/>
      <c r="I352" s="55"/>
    </row>
    <row r="353" spans="1:9" x14ac:dyDescent="0.4">
      <c r="A353" s="55"/>
      <c r="D353" s="55"/>
      <c r="E353" s="55"/>
      <c r="F353" s="55"/>
      <c r="G353" s="55"/>
      <c r="H353" s="55"/>
      <c r="I353" s="55"/>
    </row>
    <row r="354" spans="1:9" x14ac:dyDescent="0.4">
      <c r="A354" s="55"/>
      <c r="D354" s="55"/>
      <c r="E354" s="55"/>
      <c r="F354" s="55"/>
      <c r="G354" s="55"/>
      <c r="H354" s="55"/>
      <c r="I354" s="55"/>
    </row>
    <row r="355" spans="1:9" x14ac:dyDescent="0.4">
      <c r="A355" s="55"/>
      <c r="D355" s="55"/>
      <c r="E355" s="55"/>
      <c r="F355" s="55"/>
      <c r="G355" s="55"/>
      <c r="H355" s="55"/>
      <c r="I355" s="55"/>
    </row>
    <row r="356" spans="1:9" x14ac:dyDescent="0.4">
      <c r="A356" s="55"/>
      <c r="D356" s="55"/>
      <c r="E356" s="55"/>
      <c r="F356" s="55"/>
      <c r="G356" s="55"/>
      <c r="H356" s="55"/>
      <c r="I356" s="55"/>
    </row>
    <row r="357" spans="1:9" x14ac:dyDescent="0.4">
      <c r="A357" s="55"/>
      <c r="D357" s="55"/>
      <c r="E357" s="55"/>
      <c r="F357" s="55"/>
      <c r="G357" s="55"/>
      <c r="H357" s="55"/>
      <c r="I357" s="55"/>
    </row>
    <row r="358" spans="1:9" x14ac:dyDescent="0.4">
      <c r="A358" s="55"/>
      <c r="D358" s="55"/>
      <c r="E358" s="55"/>
      <c r="F358" s="55"/>
      <c r="G358" s="55"/>
      <c r="H358" s="55"/>
      <c r="I358" s="55"/>
    </row>
    <row r="359" spans="1:9" x14ac:dyDescent="0.4">
      <c r="A359" s="55"/>
      <c r="D359" s="55"/>
      <c r="E359" s="55"/>
      <c r="F359" s="55"/>
      <c r="G359" s="55"/>
      <c r="H359" s="55"/>
      <c r="I359" s="55"/>
    </row>
    <row r="360" spans="1:9" x14ac:dyDescent="0.4">
      <c r="A360" s="55"/>
      <c r="D360" s="55"/>
      <c r="E360" s="55"/>
      <c r="F360" s="55"/>
      <c r="G360" s="55"/>
      <c r="H360" s="55"/>
      <c r="I360" s="55"/>
    </row>
    <row r="361" spans="1:9" x14ac:dyDescent="0.4">
      <c r="A361" s="55"/>
      <c r="D361" s="55"/>
      <c r="E361" s="55"/>
      <c r="F361" s="55"/>
      <c r="G361" s="55"/>
      <c r="H361" s="55"/>
      <c r="I361" s="55"/>
    </row>
    <row r="362" spans="1:9" x14ac:dyDescent="0.4">
      <c r="A362" s="55"/>
      <c r="D362" s="55"/>
      <c r="E362" s="55"/>
      <c r="F362" s="55"/>
      <c r="G362" s="55"/>
      <c r="H362" s="55"/>
      <c r="I362" s="55"/>
    </row>
    <row r="363" spans="1:9" x14ac:dyDescent="0.4">
      <c r="A363" s="55"/>
      <c r="D363" s="55"/>
      <c r="E363" s="55"/>
      <c r="F363" s="55"/>
      <c r="G363" s="55"/>
      <c r="H363" s="55"/>
      <c r="I363" s="55"/>
    </row>
    <row r="364" spans="1:9" x14ac:dyDescent="0.4">
      <c r="A364" s="55"/>
      <c r="D364" s="55"/>
      <c r="E364" s="55"/>
      <c r="F364" s="55"/>
      <c r="G364" s="55"/>
      <c r="H364" s="55"/>
      <c r="I364" s="55"/>
    </row>
    <row r="365" spans="1:9" x14ac:dyDescent="0.4">
      <c r="A365" s="55"/>
      <c r="D365" s="55"/>
      <c r="E365" s="55"/>
      <c r="F365" s="55"/>
      <c r="G365" s="55"/>
      <c r="H365" s="55"/>
      <c r="I365" s="55"/>
    </row>
    <row r="366" spans="1:9" x14ac:dyDescent="0.4">
      <c r="A366" s="55"/>
      <c r="D366" s="55"/>
      <c r="E366" s="55"/>
      <c r="F366" s="55"/>
      <c r="G366" s="55"/>
      <c r="H366" s="55"/>
      <c r="I366" s="55"/>
    </row>
    <row r="367" spans="1:9" x14ac:dyDescent="0.4">
      <c r="A367" s="55"/>
      <c r="D367" s="55"/>
      <c r="E367" s="55"/>
      <c r="F367" s="55"/>
      <c r="G367" s="55"/>
      <c r="H367" s="55"/>
      <c r="I367" s="55"/>
    </row>
    <row r="368" spans="1:9" x14ac:dyDescent="0.4">
      <c r="A368" s="55"/>
      <c r="D368" s="55"/>
      <c r="E368" s="55"/>
      <c r="F368" s="55"/>
      <c r="G368" s="55"/>
      <c r="H368" s="55"/>
      <c r="I368" s="55"/>
    </row>
    <row r="369" spans="1:9" x14ac:dyDescent="0.4">
      <c r="A369" s="55"/>
      <c r="D369" s="55"/>
      <c r="E369" s="55"/>
      <c r="F369" s="55"/>
      <c r="G369" s="55"/>
      <c r="H369" s="55"/>
      <c r="I369" s="55"/>
    </row>
    <row r="370" spans="1:9" x14ac:dyDescent="0.4">
      <c r="A370" s="55"/>
      <c r="D370" s="55"/>
      <c r="E370" s="55"/>
      <c r="F370" s="55"/>
      <c r="G370" s="55"/>
      <c r="H370" s="55"/>
      <c r="I370" s="55"/>
    </row>
    <row r="371" spans="1:9" x14ac:dyDescent="0.4">
      <c r="A371" s="55"/>
      <c r="D371" s="55"/>
      <c r="E371" s="55"/>
      <c r="F371" s="55"/>
      <c r="G371" s="55"/>
      <c r="H371" s="55"/>
      <c r="I371" s="55"/>
    </row>
    <row r="372" spans="1:9" x14ac:dyDescent="0.4">
      <c r="A372" s="55"/>
      <c r="D372" s="55"/>
      <c r="E372" s="55"/>
      <c r="F372" s="55"/>
      <c r="G372" s="55"/>
      <c r="H372" s="55"/>
      <c r="I372" s="55"/>
    </row>
    <row r="373" spans="1:9" x14ac:dyDescent="0.4">
      <c r="A373" s="55"/>
      <c r="D373" s="55"/>
      <c r="E373" s="55"/>
      <c r="F373" s="55"/>
      <c r="G373" s="55"/>
      <c r="H373" s="55"/>
      <c r="I373" s="55"/>
    </row>
    <row r="374" spans="1:9" x14ac:dyDescent="0.4">
      <c r="A374" s="55"/>
      <c r="D374" s="55"/>
      <c r="E374" s="55"/>
      <c r="F374" s="55"/>
      <c r="G374" s="55"/>
      <c r="H374" s="55"/>
      <c r="I374" s="55"/>
    </row>
    <row r="375" spans="1:9" x14ac:dyDescent="0.4">
      <c r="A375" s="55"/>
      <c r="D375" s="55"/>
      <c r="E375" s="55"/>
      <c r="F375" s="55"/>
      <c r="G375" s="55"/>
      <c r="H375" s="55"/>
      <c r="I375" s="55"/>
    </row>
    <row r="376" spans="1:9" x14ac:dyDescent="0.4">
      <c r="A376" s="55"/>
      <c r="D376" s="55"/>
      <c r="E376" s="55"/>
      <c r="F376" s="55"/>
      <c r="G376" s="55"/>
      <c r="H376" s="55"/>
      <c r="I376" s="55"/>
    </row>
    <row r="377" spans="1:9" x14ac:dyDescent="0.4">
      <c r="A377" s="55"/>
      <c r="D377" s="55"/>
      <c r="E377" s="55"/>
      <c r="F377" s="55"/>
      <c r="G377" s="55"/>
      <c r="H377" s="55"/>
      <c r="I377" s="55"/>
    </row>
    <row r="378" spans="1:9" x14ac:dyDescent="0.4">
      <c r="A378" s="55"/>
      <c r="D378" s="55"/>
      <c r="E378" s="55"/>
      <c r="F378" s="55"/>
      <c r="G378" s="55"/>
      <c r="H378" s="55"/>
      <c r="I378" s="55"/>
    </row>
    <row r="379" spans="1:9" x14ac:dyDescent="0.4">
      <c r="A379" s="55"/>
      <c r="D379" s="55"/>
      <c r="E379" s="55"/>
      <c r="F379" s="55"/>
      <c r="G379" s="55"/>
      <c r="H379" s="55"/>
      <c r="I379" s="55"/>
    </row>
    <row r="380" spans="1:9" x14ac:dyDescent="0.4">
      <c r="A380" s="55"/>
      <c r="D380" s="55"/>
      <c r="E380" s="55"/>
      <c r="F380" s="55"/>
      <c r="G380" s="55"/>
      <c r="H380" s="55"/>
      <c r="I380" s="55"/>
    </row>
    <row r="381" spans="1:9" x14ac:dyDescent="0.4">
      <c r="A381" s="55"/>
      <c r="D381" s="55"/>
      <c r="E381" s="55"/>
      <c r="F381" s="55"/>
      <c r="G381" s="55"/>
      <c r="H381" s="55"/>
      <c r="I381" s="55"/>
    </row>
    <row r="382" spans="1:9" x14ac:dyDescent="0.4">
      <c r="A382" s="55"/>
      <c r="D382" s="55"/>
      <c r="E382" s="55"/>
      <c r="F382" s="55"/>
      <c r="G382" s="55"/>
      <c r="H382" s="55"/>
      <c r="I382" s="55"/>
    </row>
    <row r="383" spans="1:9" x14ac:dyDescent="0.4">
      <c r="A383" s="55"/>
      <c r="D383" s="55"/>
      <c r="E383" s="55"/>
      <c r="F383" s="55"/>
      <c r="G383" s="55"/>
      <c r="H383" s="55"/>
      <c r="I383" s="55"/>
    </row>
    <row r="384" spans="1:9" x14ac:dyDescent="0.4">
      <c r="A384" s="55"/>
      <c r="D384" s="55"/>
      <c r="E384" s="55"/>
      <c r="F384" s="55"/>
      <c r="G384" s="55"/>
      <c r="H384" s="55"/>
      <c r="I384" s="55"/>
    </row>
    <row r="385" spans="1:9" x14ac:dyDescent="0.4">
      <c r="A385" s="55"/>
      <c r="D385" s="55"/>
      <c r="E385" s="55"/>
      <c r="F385" s="55"/>
      <c r="G385" s="55"/>
      <c r="H385" s="55"/>
      <c r="I385" s="55"/>
    </row>
    <row r="386" spans="1:9" x14ac:dyDescent="0.4">
      <c r="A386" s="55"/>
      <c r="D386" s="55"/>
      <c r="E386" s="55"/>
      <c r="F386" s="55"/>
      <c r="G386" s="55"/>
      <c r="H386" s="55"/>
      <c r="I386" s="55"/>
    </row>
    <row r="387" spans="1:9" x14ac:dyDescent="0.4">
      <c r="A387" s="55"/>
      <c r="D387" s="55"/>
      <c r="E387" s="55"/>
      <c r="F387" s="55"/>
      <c r="G387" s="55"/>
      <c r="H387" s="55"/>
      <c r="I387" s="55"/>
    </row>
    <row r="388" spans="1:9" x14ac:dyDescent="0.4">
      <c r="A388" s="55"/>
      <c r="D388" s="55"/>
      <c r="E388" s="55"/>
      <c r="F388" s="55"/>
      <c r="G388" s="55"/>
      <c r="H388" s="55"/>
      <c r="I388" s="55"/>
    </row>
    <row r="389" spans="1:9" x14ac:dyDescent="0.4">
      <c r="A389" s="55"/>
      <c r="D389" s="55"/>
      <c r="E389" s="55"/>
      <c r="F389" s="55"/>
      <c r="G389" s="55"/>
      <c r="H389" s="55"/>
      <c r="I389" s="55"/>
    </row>
    <row r="390" spans="1:9" x14ac:dyDescent="0.4">
      <c r="A390" s="55"/>
      <c r="D390" s="55"/>
      <c r="E390" s="55"/>
      <c r="F390" s="55"/>
      <c r="G390" s="55"/>
      <c r="H390" s="55"/>
      <c r="I390" s="55"/>
    </row>
    <row r="391" spans="1:9" x14ac:dyDescent="0.4">
      <c r="A391" s="55"/>
      <c r="D391" s="55"/>
      <c r="E391" s="55"/>
      <c r="F391" s="55"/>
      <c r="G391" s="55"/>
      <c r="H391" s="55"/>
      <c r="I391" s="55"/>
    </row>
    <row r="392" spans="1:9" x14ac:dyDescent="0.4">
      <c r="A392" s="55"/>
      <c r="D392" s="55"/>
      <c r="E392" s="55"/>
      <c r="F392" s="55"/>
      <c r="G392" s="55"/>
      <c r="H392" s="55"/>
      <c r="I392" s="55"/>
    </row>
    <row r="393" spans="1:9" x14ac:dyDescent="0.4">
      <c r="A393" s="55"/>
      <c r="D393" s="55"/>
      <c r="E393" s="55"/>
      <c r="F393" s="55"/>
      <c r="G393" s="55"/>
      <c r="H393" s="55"/>
      <c r="I393" s="55"/>
    </row>
    <row r="394" spans="1:9" x14ac:dyDescent="0.4">
      <c r="A394" s="55"/>
      <c r="D394" s="55"/>
      <c r="E394" s="55"/>
      <c r="F394" s="55"/>
      <c r="G394" s="55"/>
      <c r="H394" s="55"/>
      <c r="I394" s="55"/>
    </row>
    <row r="395" spans="1:9" x14ac:dyDescent="0.4">
      <c r="A395" s="55"/>
      <c r="D395" s="55"/>
      <c r="E395" s="55"/>
      <c r="F395" s="55"/>
      <c r="G395" s="55"/>
      <c r="H395" s="55"/>
      <c r="I395" s="55"/>
    </row>
    <row r="396" spans="1:9" x14ac:dyDescent="0.4">
      <c r="A396" s="55"/>
      <c r="D396" s="55"/>
      <c r="E396" s="55"/>
      <c r="F396" s="55"/>
      <c r="G396" s="55"/>
      <c r="H396" s="55"/>
      <c r="I396" s="55"/>
    </row>
    <row r="397" spans="1:9" x14ac:dyDescent="0.4">
      <c r="A397" s="55"/>
      <c r="D397" s="55"/>
      <c r="E397" s="55"/>
      <c r="F397" s="55"/>
      <c r="G397" s="55"/>
      <c r="H397" s="55"/>
      <c r="I397" s="55"/>
    </row>
    <row r="398" spans="1:9" x14ac:dyDescent="0.4">
      <c r="A398" s="55"/>
      <c r="D398" s="55"/>
      <c r="E398" s="55"/>
      <c r="F398" s="55"/>
      <c r="G398" s="55"/>
      <c r="H398" s="55"/>
      <c r="I398" s="55"/>
    </row>
    <row r="399" spans="1:9" x14ac:dyDescent="0.4">
      <c r="A399" s="55"/>
      <c r="D399" s="55"/>
      <c r="E399" s="55"/>
      <c r="F399" s="55"/>
      <c r="G399" s="55"/>
      <c r="H399" s="55"/>
      <c r="I399" s="55"/>
    </row>
    <row r="400" spans="1:9" x14ac:dyDescent="0.4">
      <c r="A400" s="55"/>
      <c r="D400" s="55"/>
      <c r="E400" s="55"/>
      <c r="F400" s="55"/>
      <c r="G400" s="55"/>
      <c r="H400" s="55"/>
      <c r="I400" s="55"/>
    </row>
    <row r="401" spans="1:9" x14ac:dyDescent="0.4">
      <c r="A401" s="55"/>
      <c r="D401" s="55"/>
      <c r="E401" s="55"/>
      <c r="F401" s="55"/>
      <c r="G401" s="55"/>
      <c r="H401" s="55"/>
      <c r="I401" s="55"/>
    </row>
    <row r="402" spans="1:9" x14ac:dyDescent="0.4">
      <c r="A402" s="55"/>
      <c r="D402" s="55"/>
      <c r="E402" s="55"/>
      <c r="F402" s="55"/>
      <c r="G402" s="55"/>
      <c r="H402" s="55"/>
      <c r="I402" s="55"/>
    </row>
    <row r="403" spans="1:9" x14ac:dyDescent="0.4">
      <c r="A403" s="55"/>
      <c r="D403" s="55"/>
      <c r="E403" s="55"/>
      <c r="F403" s="55"/>
      <c r="G403" s="55"/>
      <c r="H403" s="55"/>
      <c r="I403" s="55"/>
    </row>
    <row r="404" spans="1:9" x14ac:dyDescent="0.4">
      <c r="A404" s="55"/>
      <c r="D404" s="55"/>
      <c r="E404" s="55"/>
      <c r="F404" s="55"/>
      <c r="G404" s="55"/>
      <c r="H404" s="55"/>
      <c r="I404" s="55"/>
    </row>
    <row r="405" spans="1:9" x14ac:dyDescent="0.4">
      <c r="A405" s="55"/>
      <c r="D405" s="55"/>
      <c r="E405" s="55"/>
      <c r="F405" s="55"/>
      <c r="G405" s="55"/>
      <c r="H405" s="55"/>
      <c r="I405" s="55"/>
    </row>
    <row r="406" spans="1:9" x14ac:dyDescent="0.4">
      <c r="A406" s="55"/>
      <c r="D406" s="55"/>
      <c r="E406" s="55"/>
      <c r="F406" s="55"/>
      <c r="G406" s="55"/>
      <c r="H406" s="55"/>
      <c r="I406" s="55"/>
    </row>
    <row r="407" spans="1:9" x14ac:dyDescent="0.4">
      <c r="A407" s="55"/>
      <c r="D407" s="55"/>
      <c r="E407" s="55"/>
      <c r="F407" s="55"/>
      <c r="G407" s="55"/>
      <c r="H407" s="55"/>
      <c r="I407" s="55"/>
    </row>
    <row r="408" spans="1:9" x14ac:dyDescent="0.4">
      <c r="A408" s="55"/>
      <c r="D408" s="55"/>
      <c r="E408" s="55"/>
      <c r="F408" s="55"/>
      <c r="G408" s="55"/>
      <c r="H408" s="55"/>
      <c r="I408" s="55"/>
    </row>
    <row r="409" spans="1:9" x14ac:dyDescent="0.4">
      <c r="A409" s="55"/>
      <c r="D409" s="55"/>
      <c r="E409" s="55"/>
      <c r="F409" s="55"/>
      <c r="G409" s="55"/>
      <c r="H409" s="55"/>
      <c r="I409" s="55"/>
    </row>
    <row r="410" spans="1:9" x14ac:dyDescent="0.4">
      <c r="A410" s="55"/>
      <c r="D410" s="55"/>
      <c r="E410" s="55"/>
      <c r="F410" s="55"/>
      <c r="G410" s="55"/>
      <c r="H410" s="55"/>
      <c r="I410" s="55"/>
    </row>
    <row r="411" spans="1:9" x14ac:dyDescent="0.4">
      <c r="A411" s="55"/>
      <c r="D411" s="55"/>
      <c r="E411" s="55"/>
      <c r="F411" s="55"/>
      <c r="G411" s="55"/>
      <c r="H411" s="55"/>
      <c r="I411" s="55"/>
    </row>
    <row r="412" spans="1:9" x14ac:dyDescent="0.4">
      <c r="A412" s="55"/>
      <c r="D412" s="55"/>
      <c r="E412" s="55"/>
      <c r="F412" s="55"/>
      <c r="G412" s="55"/>
      <c r="H412" s="55"/>
      <c r="I412" s="55"/>
    </row>
    <row r="413" spans="1:9" x14ac:dyDescent="0.4">
      <c r="A413" s="55"/>
      <c r="D413" s="55"/>
      <c r="E413" s="55"/>
      <c r="F413" s="55"/>
      <c r="G413" s="55"/>
      <c r="H413" s="55"/>
      <c r="I413" s="55"/>
    </row>
    <row r="414" spans="1:9" x14ac:dyDescent="0.4">
      <c r="A414" s="55"/>
      <c r="D414" s="55"/>
      <c r="E414" s="55"/>
      <c r="F414" s="55"/>
      <c r="G414" s="55"/>
      <c r="H414" s="55"/>
      <c r="I414" s="55"/>
    </row>
    <row r="415" spans="1:9" x14ac:dyDescent="0.4">
      <c r="A415" s="55"/>
      <c r="D415" s="55"/>
      <c r="E415" s="55"/>
      <c r="F415" s="55"/>
      <c r="G415" s="55"/>
      <c r="H415" s="55"/>
      <c r="I415" s="55"/>
    </row>
    <row r="416" spans="1:9" x14ac:dyDescent="0.4">
      <c r="A416" s="55"/>
      <c r="D416" s="55"/>
      <c r="E416" s="55"/>
      <c r="F416" s="55"/>
      <c r="G416" s="55"/>
      <c r="H416" s="55"/>
      <c r="I416" s="55"/>
    </row>
    <row r="417" spans="1:9" x14ac:dyDescent="0.4">
      <c r="A417" s="55"/>
      <c r="D417" s="55"/>
      <c r="E417" s="55"/>
      <c r="F417" s="55"/>
      <c r="G417" s="55"/>
      <c r="H417" s="55"/>
      <c r="I417" s="55"/>
    </row>
    <row r="418" spans="1:9" x14ac:dyDescent="0.4">
      <c r="A418" s="55"/>
      <c r="D418" s="55"/>
      <c r="E418" s="55"/>
      <c r="F418" s="55"/>
      <c r="G418" s="55"/>
      <c r="H418" s="55"/>
      <c r="I418" s="55"/>
    </row>
    <row r="419" spans="1:9" x14ac:dyDescent="0.4">
      <c r="A419" s="55"/>
      <c r="D419" s="55"/>
      <c r="E419" s="55"/>
      <c r="F419" s="55"/>
      <c r="G419" s="55"/>
      <c r="H419" s="55"/>
      <c r="I419" s="55"/>
    </row>
    <row r="420" spans="1:9" x14ac:dyDescent="0.4">
      <c r="A420" s="55"/>
      <c r="D420" s="55"/>
      <c r="E420" s="55"/>
      <c r="F420" s="55"/>
      <c r="G420" s="55"/>
      <c r="H420" s="55"/>
      <c r="I420" s="55"/>
    </row>
    <row r="421" spans="1:9" x14ac:dyDescent="0.4">
      <c r="A421" s="55"/>
      <c r="D421" s="55"/>
      <c r="E421" s="55"/>
      <c r="F421" s="55"/>
      <c r="G421" s="55"/>
      <c r="H421" s="55"/>
      <c r="I421" s="55"/>
    </row>
    <row r="422" spans="1:9" x14ac:dyDescent="0.4">
      <c r="A422" s="55"/>
      <c r="D422" s="55"/>
      <c r="E422" s="55"/>
      <c r="F422" s="55"/>
      <c r="G422" s="55"/>
      <c r="H422" s="55"/>
      <c r="I422" s="55"/>
    </row>
    <row r="423" spans="1:9" x14ac:dyDescent="0.4">
      <c r="A423" s="55"/>
      <c r="D423" s="55"/>
      <c r="E423" s="55"/>
      <c r="F423" s="55"/>
      <c r="G423" s="55"/>
      <c r="H423" s="55"/>
      <c r="I423" s="55"/>
    </row>
    <row r="424" spans="1:9" x14ac:dyDescent="0.4">
      <c r="A424" s="55"/>
      <c r="D424" s="55"/>
      <c r="E424" s="55"/>
      <c r="F424" s="55"/>
      <c r="G424" s="55"/>
      <c r="H424" s="55"/>
      <c r="I424" s="55"/>
    </row>
    <row r="425" spans="1:9" x14ac:dyDescent="0.4">
      <c r="A425" s="55"/>
      <c r="D425" s="55"/>
      <c r="E425" s="55"/>
      <c r="F425" s="55"/>
      <c r="G425" s="55"/>
      <c r="H425" s="55"/>
      <c r="I425" s="55"/>
    </row>
    <row r="426" spans="1:9" x14ac:dyDescent="0.4">
      <c r="A426" s="55"/>
      <c r="D426" s="55"/>
      <c r="E426" s="55"/>
      <c r="F426" s="55"/>
      <c r="G426" s="55"/>
      <c r="H426" s="55"/>
      <c r="I426" s="55"/>
    </row>
    <row r="427" spans="1:9" x14ac:dyDescent="0.4">
      <c r="A427" s="55"/>
      <c r="D427" s="55"/>
      <c r="E427" s="55"/>
      <c r="F427" s="55"/>
      <c r="G427" s="55"/>
      <c r="H427" s="55"/>
      <c r="I427" s="55"/>
    </row>
    <row r="428" spans="1:9" x14ac:dyDescent="0.4">
      <c r="A428" s="55"/>
      <c r="D428" s="55"/>
      <c r="E428" s="55"/>
      <c r="F428" s="55"/>
      <c r="G428" s="55"/>
      <c r="H428" s="55"/>
      <c r="I428" s="55"/>
    </row>
    <row r="429" spans="1:9" x14ac:dyDescent="0.4">
      <c r="A429" s="55"/>
      <c r="D429" s="55"/>
      <c r="E429" s="55"/>
      <c r="F429" s="55"/>
      <c r="G429" s="55"/>
      <c r="H429" s="55"/>
      <c r="I429" s="55"/>
    </row>
    <row r="430" spans="1:9" x14ac:dyDescent="0.4">
      <c r="A430" s="55"/>
      <c r="D430" s="55"/>
      <c r="E430" s="55"/>
      <c r="F430" s="55"/>
      <c r="G430" s="55"/>
      <c r="H430" s="55"/>
      <c r="I430" s="55"/>
    </row>
    <row r="431" spans="1:9" x14ac:dyDescent="0.4">
      <c r="A431" s="55"/>
      <c r="D431" s="55"/>
      <c r="E431" s="55"/>
      <c r="F431" s="55"/>
      <c r="G431" s="55"/>
      <c r="H431" s="55"/>
      <c r="I431" s="55"/>
    </row>
    <row r="432" spans="1:9" x14ac:dyDescent="0.4">
      <c r="A432" s="55"/>
      <c r="D432" s="55"/>
      <c r="E432" s="55"/>
      <c r="F432" s="55"/>
      <c r="G432" s="55"/>
      <c r="H432" s="55"/>
      <c r="I432" s="55"/>
    </row>
    <row r="433" spans="1:9" x14ac:dyDescent="0.4">
      <c r="A433" s="55"/>
      <c r="D433" s="55"/>
      <c r="E433" s="55"/>
      <c r="F433" s="55"/>
      <c r="G433" s="55"/>
      <c r="H433" s="55"/>
      <c r="I433" s="55"/>
    </row>
    <row r="434" spans="1:9" x14ac:dyDescent="0.4">
      <c r="A434" s="55"/>
      <c r="D434" s="55"/>
      <c r="E434" s="55"/>
      <c r="F434" s="55"/>
      <c r="G434" s="55"/>
      <c r="H434" s="55"/>
      <c r="I434" s="55"/>
    </row>
    <row r="435" spans="1:9" x14ac:dyDescent="0.4">
      <c r="A435" s="55"/>
      <c r="D435" s="55"/>
      <c r="E435" s="55"/>
      <c r="F435" s="55"/>
      <c r="G435" s="55"/>
      <c r="H435" s="55"/>
      <c r="I435" s="55"/>
    </row>
    <row r="436" spans="1:9" x14ac:dyDescent="0.4">
      <c r="A436" s="55"/>
      <c r="D436" s="55"/>
      <c r="E436" s="55"/>
      <c r="F436" s="55"/>
      <c r="G436" s="55"/>
      <c r="H436" s="55"/>
      <c r="I436" s="55"/>
    </row>
    <row r="437" spans="1:9" x14ac:dyDescent="0.4">
      <c r="A437" s="55"/>
      <c r="D437" s="55"/>
      <c r="E437" s="55"/>
      <c r="F437" s="55"/>
      <c r="G437" s="55"/>
      <c r="H437" s="55"/>
      <c r="I437" s="55"/>
    </row>
    <row r="438" spans="1:9" x14ac:dyDescent="0.4">
      <c r="A438" s="55"/>
      <c r="D438" s="55"/>
      <c r="E438" s="55"/>
      <c r="F438" s="55"/>
      <c r="G438" s="55"/>
      <c r="H438" s="55"/>
      <c r="I438" s="55"/>
    </row>
    <row r="439" spans="1:9" x14ac:dyDescent="0.4">
      <c r="A439" s="55"/>
      <c r="D439" s="55"/>
      <c r="E439" s="55"/>
      <c r="F439" s="55"/>
      <c r="G439" s="55"/>
      <c r="H439" s="55"/>
      <c r="I439" s="55"/>
    </row>
    <row r="440" spans="1:9" x14ac:dyDescent="0.4">
      <c r="A440" s="55"/>
      <c r="D440" s="55"/>
      <c r="E440" s="55"/>
      <c r="F440" s="55"/>
      <c r="G440" s="55"/>
      <c r="H440" s="55"/>
      <c r="I440" s="55"/>
    </row>
    <row r="441" spans="1:9" x14ac:dyDescent="0.4">
      <c r="A441" s="55"/>
      <c r="D441" s="55"/>
      <c r="E441" s="55"/>
      <c r="F441" s="55"/>
      <c r="G441" s="55"/>
      <c r="H441" s="55"/>
      <c r="I441" s="55"/>
    </row>
    <row r="442" spans="1:9" x14ac:dyDescent="0.4">
      <c r="A442" s="55"/>
      <c r="D442" s="55"/>
      <c r="E442" s="55"/>
      <c r="F442" s="55"/>
      <c r="G442" s="55"/>
      <c r="H442" s="55"/>
      <c r="I442" s="55"/>
    </row>
    <row r="443" spans="1:9" x14ac:dyDescent="0.4">
      <c r="A443" s="55"/>
      <c r="D443" s="55"/>
      <c r="E443" s="55"/>
      <c r="F443" s="55"/>
      <c r="G443" s="55"/>
      <c r="H443" s="55"/>
      <c r="I443" s="55"/>
    </row>
    <row r="444" spans="1:9" x14ac:dyDescent="0.4">
      <c r="A444" s="55"/>
      <c r="D444" s="55"/>
      <c r="E444" s="55"/>
      <c r="F444" s="55"/>
      <c r="G444" s="55"/>
      <c r="H444" s="55"/>
      <c r="I444" s="55"/>
    </row>
    <row r="445" spans="1:9" x14ac:dyDescent="0.4">
      <c r="A445" s="55"/>
      <c r="D445" s="55"/>
      <c r="E445" s="55"/>
      <c r="F445" s="55"/>
      <c r="G445" s="55"/>
      <c r="H445" s="55"/>
      <c r="I445" s="55"/>
    </row>
    <row r="446" spans="1:9" x14ac:dyDescent="0.4">
      <c r="A446" s="55"/>
      <c r="D446" s="55"/>
      <c r="E446" s="55"/>
      <c r="F446" s="55"/>
      <c r="G446" s="55"/>
      <c r="H446" s="55"/>
      <c r="I446" s="55"/>
    </row>
    <row r="447" spans="1:9" x14ac:dyDescent="0.4">
      <c r="A447" s="55"/>
      <c r="D447" s="55"/>
      <c r="E447" s="55"/>
      <c r="F447" s="55"/>
      <c r="G447" s="55"/>
      <c r="H447" s="55"/>
      <c r="I447" s="55"/>
    </row>
    <row r="448" spans="1:9" x14ac:dyDescent="0.4">
      <c r="A448" s="55"/>
      <c r="D448" s="55"/>
      <c r="E448" s="55"/>
      <c r="F448" s="55"/>
      <c r="G448" s="55"/>
      <c r="H448" s="55"/>
      <c r="I448" s="55"/>
    </row>
    <row r="449" spans="1:9" x14ac:dyDescent="0.4">
      <c r="A449" s="55"/>
      <c r="D449" s="55"/>
      <c r="E449" s="55"/>
      <c r="F449" s="55"/>
      <c r="G449" s="55"/>
      <c r="H449" s="55"/>
      <c r="I449" s="55"/>
    </row>
    <row r="450" spans="1:9" x14ac:dyDescent="0.4">
      <c r="A450" s="55"/>
      <c r="D450" s="55"/>
      <c r="E450" s="55"/>
      <c r="F450" s="55"/>
      <c r="G450" s="55"/>
      <c r="H450" s="55"/>
      <c r="I450" s="55"/>
    </row>
    <row r="451" spans="1:9" x14ac:dyDescent="0.4">
      <c r="A451" s="55"/>
      <c r="D451" s="55"/>
      <c r="E451" s="55"/>
      <c r="F451" s="55"/>
      <c r="G451" s="55"/>
      <c r="H451" s="55"/>
      <c r="I451" s="55"/>
    </row>
    <row r="452" spans="1:9" x14ac:dyDescent="0.4">
      <c r="A452" s="55"/>
      <c r="D452" s="55"/>
      <c r="E452" s="55"/>
      <c r="F452" s="55"/>
      <c r="G452" s="55"/>
      <c r="H452" s="55"/>
      <c r="I452" s="55"/>
    </row>
    <row r="453" spans="1:9" x14ac:dyDescent="0.4">
      <c r="A453" s="55"/>
      <c r="D453" s="55"/>
      <c r="E453" s="55"/>
      <c r="F453" s="55"/>
      <c r="G453" s="55"/>
      <c r="H453" s="55"/>
      <c r="I453" s="55"/>
    </row>
    <row r="454" spans="1:9" x14ac:dyDescent="0.4">
      <c r="A454" s="55"/>
      <c r="D454" s="55"/>
      <c r="E454" s="55"/>
      <c r="F454" s="55"/>
      <c r="G454" s="55"/>
      <c r="H454" s="55"/>
      <c r="I454" s="55"/>
    </row>
    <row r="455" spans="1:9" x14ac:dyDescent="0.4">
      <c r="A455" s="55"/>
      <c r="D455" s="55"/>
      <c r="E455" s="55"/>
      <c r="F455" s="55"/>
      <c r="G455" s="55"/>
      <c r="H455" s="55"/>
      <c r="I455" s="55"/>
    </row>
    <row r="456" spans="1:9" x14ac:dyDescent="0.4">
      <c r="A456" s="55"/>
      <c r="D456" s="55"/>
      <c r="E456" s="55"/>
      <c r="F456" s="55"/>
      <c r="G456" s="55"/>
      <c r="H456" s="55"/>
      <c r="I456" s="55"/>
    </row>
    <row r="457" spans="1:9" x14ac:dyDescent="0.4">
      <c r="A457" s="55"/>
      <c r="D457" s="55"/>
      <c r="E457" s="55"/>
      <c r="F457" s="55"/>
      <c r="G457" s="55"/>
      <c r="H457" s="55"/>
      <c r="I457" s="55"/>
    </row>
    <row r="458" spans="1:9" x14ac:dyDescent="0.4">
      <c r="A458" s="55"/>
      <c r="D458" s="55"/>
      <c r="E458" s="55"/>
      <c r="F458" s="55"/>
      <c r="G458" s="55"/>
      <c r="H458" s="55"/>
      <c r="I458" s="55"/>
    </row>
    <row r="459" spans="1:9" x14ac:dyDescent="0.4">
      <c r="A459" s="55"/>
      <c r="D459" s="55"/>
      <c r="E459" s="55"/>
      <c r="F459" s="55"/>
      <c r="G459" s="55"/>
      <c r="H459" s="55"/>
      <c r="I459" s="55"/>
    </row>
    <row r="460" spans="1:9" x14ac:dyDescent="0.4">
      <c r="A460" s="55"/>
      <c r="D460" s="55"/>
      <c r="E460" s="55"/>
      <c r="F460" s="55"/>
      <c r="G460" s="55"/>
      <c r="H460" s="55"/>
      <c r="I460" s="55"/>
    </row>
    <row r="461" spans="1:9" x14ac:dyDescent="0.4">
      <c r="A461" s="55"/>
      <c r="D461" s="55"/>
      <c r="E461" s="55"/>
      <c r="F461" s="55"/>
      <c r="G461" s="55"/>
      <c r="H461" s="55"/>
      <c r="I461" s="55"/>
    </row>
    <row r="462" spans="1:9" x14ac:dyDescent="0.4">
      <c r="A462" s="55"/>
      <c r="D462" s="55"/>
      <c r="E462" s="55"/>
      <c r="F462" s="55"/>
      <c r="G462" s="55"/>
      <c r="H462" s="55"/>
      <c r="I462" s="55"/>
    </row>
    <row r="463" spans="1:9" x14ac:dyDescent="0.4">
      <c r="A463" s="55"/>
      <c r="D463" s="55"/>
      <c r="E463" s="55"/>
      <c r="F463" s="55"/>
      <c r="G463" s="55"/>
      <c r="H463" s="55"/>
      <c r="I463" s="55"/>
    </row>
    <row r="464" spans="1:9" x14ac:dyDescent="0.4">
      <c r="A464" s="55"/>
      <c r="D464" s="55"/>
      <c r="E464" s="55"/>
      <c r="F464" s="55"/>
      <c r="G464" s="55"/>
      <c r="H464" s="55"/>
      <c r="I464" s="55"/>
    </row>
    <row r="465" spans="1:9" x14ac:dyDescent="0.4">
      <c r="A465" s="55"/>
      <c r="D465" s="55"/>
      <c r="E465" s="55"/>
      <c r="F465" s="55"/>
      <c r="G465" s="55"/>
      <c r="H465" s="55"/>
      <c r="I465" s="55"/>
    </row>
    <row r="466" spans="1:9" x14ac:dyDescent="0.4">
      <c r="A466" s="55"/>
      <c r="D466" s="55"/>
      <c r="E466" s="55"/>
      <c r="F466" s="55"/>
      <c r="G466" s="55"/>
      <c r="H466" s="55"/>
      <c r="I466" s="55"/>
    </row>
    <row r="467" spans="1:9" x14ac:dyDescent="0.4">
      <c r="A467" s="55"/>
      <c r="D467" s="55"/>
      <c r="E467" s="55"/>
      <c r="F467" s="55"/>
      <c r="G467" s="55"/>
      <c r="H467" s="55"/>
      <c r="I467" s="55"/>
    </row>
    <row r="468" spans="1:9" x14ac:dyDescent="0.4">
      <c r="A468" s="55"/>
      <c r="D468" s="55"/>
      <c r="E468" s="55"/>
      <c r="F468" s="55"/>
      <c r="G468" s="55"/>
      <c r="H468" s="55"/>
      <c r="I468" s="55"/>
    </row>
    <row r="469" spans="1:9" x14ac:dyDescent="0.4">
      <c r="A469" s="55"/>
      <c r="D469" s="55"/>
      <c r="E469" s="55"/>
      <c r="F469" s="55"/>
      <c r="G469" s="55"/>
      <c r="H469" s="55"/>
      <c r="I469" s="55"/>
    </row>
    <row r="470" spans="1:9" x14ac:dyDescent="0.4">
      <c r="A470" s="55"/>
      <c r="D470" s="55"/>
      <c r="E470" s="55"/>
      <c r="F470" s="55"/>
      <c r="G470" s="55"/>
      <c r="H470" s="55"/>
      <c r="I470" s="55"/>
    </row>
    <row r="471" spans="1:9" x14ac:dyDescent="0.4">
      <c r="A471" s="55"/>
      <c r="D471" s="55"/>
      <c r="E471" s="55"/>
      <c r="F471" s="55"/>
      <c r="G471" s="55"/>
      <c r="H471" s="55"/>
      <c r="I471" s="55"/>
    </row>
    <row r="472" spans="1:9" x14ac:dyDescent="0.4">
      <c r="A472" s="55"/>
      <c r="D472" s="55"/>
      <c r="E472" s="55"/>
      <c r="F472" s="55"/>
      <c r="G472" s="55"/>
      <c r="H472" s="55"/>
      <c r="I472" s="55"/>
    </row>
    <row r="473" spans="1:9" x14ac:dyDescent="0.4">
      <c r="A473" s="55"/>
      <c r="D473" s="55"/>
      <c r="E473" s="55"/>
      <c r="F473" s="55"/>
      <c r="G473" s="55"/>
      <c r="H473" s="55"/>
      <c r="I473" s="55"/>
    </row>
    <row r="474" spans="1:9" x14ac:dyDescent="0.4">
      <c r="A474" s="55"/>
      <c r="D474" s="55"/>
      <c r="E474" s="55"/>
      <c r="F474" s="55"/>
      <c r="G474" s="55"/>
      <c r="H474" s="55"/>
      <c r="I474" s="55"/>
    </row>
    <row r="475" spans="1:9" x14ac:dyDescent="0.4">
      <c r="A475" s="55"/>
      <c r="D475" s="55"/>
      <c r="E475" s="55"/>
      <c r="F475" s="55"/>
      <c r="G475" s="55"/>
      <c r="H475" s="55"/>
      <c r="I475" s="55"/>
    </row>
    <row r="476" spans="1:9" x14ac:dyDescent="0.4">
      <c r="A476" s="55"/>
      <c r="D476" s="55"/>
      <c r="E476" s="55"/>
      <c r="F476" s="55"/>
      <c r="G476" s="55"/>
      <c r="H476" s="55"/>
      <c r="I476" s="55"/>
    </row>
    <row r="477" spans="1:9" x14ac:dyDescent="0.4">
      <c r="A477" s="55"/>
      <c r="D477" s="55"/>
      <c r="E477" s="55"/>
      <c r="F477" s="55"/>
      <c r="G477" s="55"/>
      <c r="H477" s="55"/>
      <c r="I477" s="55"/>
    </row>
    <row r="478" spans="1:9" x14ac:dyDescent="0.4">
      <c r="A478" s="55"/>
      <c r="D478" s="55"/>
      <c r="E478" s="55"/>
      <c r="F478" s="55"/>
      <c r="G478" s="55"/>
      <c r="H478" s="55"/>
      <c r="I478" s="55"/>
    </row>
    <row r="479" spans="1:9" x14ac:dyDescent="0.4">
      <c r="A479" s="55"/>
      <c r="D479" s="55"/>
      <c r="E479" s="55"/>
      <c r="F479" s="55"/>
      <c r="G479" s="55"/>
      <c r="H479" s="55"/>
      <c r="I479" s="55"/>
    </row>
    <row r="480" spans="1:9" x14ac:dyDescent="0.4">
      <c r="A480" s="55"/>
      <c r="D480" s="55"/>
      <c r="E480" s="55"/>
      <c r="F480" s="55"/>
      <c r="G480" s="55"/>
      <c r="H480" s="55"/>
      <c r="I480" s="55"/>
    </row>
    <row r="481" spans="1:9" x14ac:dyDescent="0.4">
      <c r="A481" s="55"/>
      <c r="D481" s="55"/>
      <c r="E481" s="55"/>
      <c r="F481" s="55"/>
      <c r="G481" s="55"/>
      <c r="H481" s="55"/>
      <c r="I481" s="55"/>
    </row>
    <row r="482" spans="1:9" x14ac:dyDescent="0.4">
      <c r="A482" s="55"/>
      <c r="D482" s="55"/>
      <c r="E482" s="55"/>
      <c r="F482" s="55"/>
      <c r="G482" s="55"/>
      <c r="H482" s="55"/>
      <c r="I482" s="55"/>
    </row>
    <row r="483" spans="1:9" x14ac:dyDescent="0.4">
      <c r="A483" s="55"/>
      <c r="D483" s="55"/>
      <c r="E483" s="55"/>
      <c r="F483" s="55"/>
      <c r="G483" s="55"/>
      <c r="H483" s="55"/>
      <c r="I483" s="55"/>
    </row>
    <row r="484" spans="1:9" x14ac:dyDescent="0.4">
      <c r="A484" s="55"/>
      <c r="D484" s="55"/>
      <c r="E484" s="55"/>
      <c r="F484" s="55"/>
      <c r="G484" s="55"/>
      <c r="H484" s="55"/>
      <c r="I484" s="55"/>
    </row>
    <row r="485" spans="1:9" x14ac:dyDescent="0.4">
      <c r="A485" s="55"/>
      <c r="D485" s="55"/>
      <c r="E485" s="55"/>
      <c r="F485" s="55"/>
      <c r="G485" s="55"/>
      <c r="H485" s="55"/>
      <c r="I485" s="55"/>
    </row>
    <row r="486" spans="1:9" x14ac:dyDescent="0.4">
      <c r="A486" s="55"/>
      <c r="D486" s="55"/>
      <c r="E486" s="55"/>
      <c r="F486" s="55"/>
      <c r="G486" s="55"/>
      <c r="H486" s="55"/>
      <c r="I486" s="55"/>
    </row>
    <row r="487" spans="1:9" x14ac:dyDescent="0.4">
      <c r="A487" s="55"/>
      <c r="D487" s="55"/>
      <c r="E487" s="55"/>
      <c r="F487" s="55"/>
      <c r="G487" s="55"/>
      <c r="H487" s="55"/>
      <c r="I487" s="55"/>
    </row>
    <row r="488" spans="1:9" x14ac:dyDescent="0.4">
      <c r="A488" s="55"/>
      <c r="D488" s="55"/>
      <c r="E488" s="55"/>
      <c r="F488" s="55"/>
      <c r="G488" s="55"/>
      <c r="H488" s="55"/>
      <c r="I488" s="55"/>
    </row>
    <row r="489" spans="1:9" x14ac:dyDescent="0.4">
      <c r="A489" s="55"/>
      <c r="D489" s="55"/>
      <c r="E489" s="55"/>
      <c r="F489" s="55"/>
      <c r="G489" s="55"/>
      <c r="H489" s="55"/>
      <c r="I489" s="55"/>
    </row>
    <row r="490" spans="1:9" x14ac:dyDescent="0.4">
      <c r="A490" s="55"/>
      <c r="D490" s="55"/>
      <c r="E490" s="55"/>
      <c r="F490" s="55"/>
      <c r="G490" s="55"/>
      <c r="H490" s="55"/>
      <c r="I490" s="55"/>
    </row>
    <row r="491" spans="1:9" x14ac:dyDescent="0.4">
      <c r="A491" s="55"/>
      <c r="D491" s="55"/>
      <c r="E491" s="55"/>
      <c r="F491" s="55"/>
      <c r="G491" s="55"/>
      <c r="H491" s="55"/>
      <c r="I491" s="55"/>
    </row>
    <row r="492" spans="1:9" x14ac:dyDescent="0.4">
      <c r="A492" s="55"/>
      <c r="D492" s="55"/>
      <c r="E492" s="55"/>
      <c r="F492" s="55"/>
      <c r="G492" s="55"/>
      <c r="H492" s="55"/>
      <c r="I492" s="55"/>
    </row>
    <row r="493" spans="1:9" x14ac:dyDescent="0.4">
      <c r="A493" s="55"/>
      <c r="D493" s="55"/>
      <c r="E493" s="55"/>
      <c r="F493" s="55"/>
      <c r="G493" s="55"/>
      <c r="H493" s="55"/>
      <c r="I493" s="55"/>
    </row>
    <row r="494" spans="1:9" x14ac:dyDescent="0.4">
      <c r="A494" s="55"/>
      <c r="D494" s="55"/>
      <c r="E494" s="55"/>
      <c r="F494" s="55"/>
      <c r="G494" s="55"/>
      <c r="H494" s="55"/>
      <c r="I494" s="55"/>
    </row>
    <row r="495" spans="1:9" x14ac:dyDescent="0.4">
      <c r="A495" s="55"/>
      <c r="D495" s="55"/>
      <c r="E495" s="55"/>
      <c r="F495" s="55"/>
      <c r="G495" s="55"/>
      <c r="H495" s="55"/>
      <c r="I495" s="55"/>
    </row>
    <row r="496" spans="1:9" x14ac:dyDescent="0.4">
      <c r="A496" s="55"/>
      <c r="D496" s="55"/>
      <c r="E496" s="55"/>
      <c r="F496" s="55"/>
      <c r="G496" s="55"/>
      <c r="H496" s="55"/>
      <c r="I496" s="55"/>
    </row>
    <row r="497" spans="1:9" x14ac:dyDescent="0.4">
      <c r="A497" s="55"/>
      <c r="D497" s="55"/>
      <c r="E497" s="55"/>
      <c r="F497" s="55"/>
      <c r="G497" s="55"/>
      <c r="H497" s="55"/>
      <c r="I497" s="55"/>
    </row>
    <row r="498" spans="1:9" x14ac:dyDescent="0.4">
      <c r="A498" s="55"/>
      <c r="D498" s="55"/>
      <c r="E498" s="55"/>
      <c r="F498" s="55"/>
      <c r="G498" s="55"/>
      <c r="H498" s="55"/>
      <c r="I498" s="55"/>
    </row>
    <row r="499" spans="1:9" x14ac:dyDescent="0.4">
      <c r="A499" s="55"/>
      <c r="D499" s="55"/>
      <c r="E499" s="55"/>
      <c r="F499" s="55"/>
      <c r="G499" s="55"/>
      <c r="H499" s="55"/>
      <c r="I499" s="55"/>
    </row>
    <row r="500" spans="1:9" x14ac:dyDescent="0.4">
      <c r="A500" s="55"/>
      <c r="D500" s="55"/>
      <c r="E500" s="55"/>
      <c r="F500" s="55"/>
      <c r="G500" s="55"/>
      <c r="H500" s="55"/>
      <c r="I500" s="55"/>
    </row>
    <row r="501" spans="1:9" x14ac:dyDescent="0.4">
      <c r="A501" s="55"/>
      <c r="D501" s="55"/>
      <c r="E501" s="55"/>
      <c r="F501" s="55"/>
      <c r="G501" s="55"/>
      <c r="H501" s="55"/>
      <c r="I501" s="55"/>
    </row>
    <row r="502" spans="1:9" x14ac:dyDescent="0.4">
      <c r="A502" s="55"/>
      <c r="D502" s="55"/>
      <c r="E502" s="55"/>
      <c r="F502" s="55"/>
      <c r="G502" s="55"/>
      <c r="H502" s="55"/>
      <c r="I502" s="55"/>
    </row>
    <row r="503" spans="1:9" x14ac:dyDescent="0.4">
      <c r="A503" s="55"/>
      <c r="D503" s="55"/>
      <c r="E503" s="55"/>
      <c r="F503" s="55"/>
      <c r="G503" s="55"/>
      <c r="H503" s="55"/>
      <c r="I503" s="55"/>
    </row>
    <row r="504" spans="1:9" x14ac:dyDescent="0.4">
      <c r="A504" s="55"/>
      <c r="D504" s="55"/>
      <c r="E504" s="55"/>
      <c r="F504" s="55"/>
      <c r="G504" s="55"/>
      <c r="H504" s="55"/>
      <c r="I504" s="55"/>
    </row>
    <row r="505" spans="1:9" x14ac:dyDescent="0.4">
      <c r="A505" s="55"/>
      <c r="D505" s="55"/>
      <c r="E505" s="55"/>
      <c r="F505" s="55"/>
      <c r="G505" s="55"/>
      <c r="H505" s="55"/>
      <c r="I505" s="55"/>
    </row>
    <row r="506" spans="1:9" x14ac:dyDescent="0.4">
      <c r="A506" s="55"/>
      <c r="D506" s="55"/>
      <c r="E506" s="55"/>
      <c r="F506" s="55"/>
      <c r="G506" s="55"/>
      <c r="H506" s="55"/>
      <c r="I506" s="55"/>
    </row>
    <row r="507" spans="1:9" x14ac:dyDescent="0.4">
      <c r="A507" s="55"/>
      <c r="D507" s="55"/>
      <c r="E507" s="55"/>
      <c r="F507" s="55"/>
      <c r="G507" s="55"/>
      <c r="H507" s="55"/>
      <c r="I507" s="55"/>
    </row>
    <row r="508" spans="1:9" x14ac:dyDescent="0.4">
      <c r="A508" s="55"/>
      <c r="D508" s="55"/>
      <c r="E508" s="55"/>
      <c r="F508" s="55"/>
      <c r="G508" s="55"/>
      <c r="H508" s="55"/>
      <c r="I508" s="55"/>
    </row>
    <row r="509" spans="1:9" x14ac:dyDescent="0.4">
      <c r="A509" s="55"/>
      <c r="D509" s="55"/>
      <c r="E509" s="55"/>
      <c r="F509" s="55"/>
      <c r="G509" s="55"/>
      <c r="H509" s="55"/>
      <c r="I509" s="55"/>
    </row>
    <row r="510" spans="1:9" x14ac:dyDescent="0.4">
      <c r="A510" s="55"/>
      <c r="D510" s="55"/>
      <c r="E510" s="55"/>
      <c r="F510" s="55"/>
      <c r="G510" s="55"/>
      <c r="H510" s="55"/>
      <c r="I510" s="55"/>
    </row>
    <row r="511" spans="1:9" x14ac:dyDescent="0.4">
      <c r="A511" s="55"/>
      <c r="D511" s="55"/>
      <c r="E511" s="55"/>
      <c r="F511" s="55"/>
      <c r="G511" s="55"/>
      <c r="H511" s="55"/>
      <c r="I511" s="55"/>
    </row>
    <row r="512" spans="1:9" x14ac:dyDescent="0.4">
      <c r="A512" s="55"/>
      <c r="D512" s="55"/>
      <c r="E512" s="55"/>
      <c r="F512" s="55"/>
      <c r="G512" s="55"/>
      <c r="H512" s="55"/>
      <c r="I512" s="55"/>
    </row>
    <row r="513" spans="1:9" x14ac:dyDescent="0.4">
      <c r="A513" s="55"/>
      <c r="D513" s="55"/>
      <c r="E513" s="55"/>
      <c r="F513" s="55"/>
      <c r="G513" s="55"/>
      <c r="H513" s="55"/>
      <c r="I513" s="55"/>
    </row>
    <row r="514" spans="1:9" x14ac:dyDescent="0.4">
      <c r="A514" s="55"/>
      <c r="D514" s="55"/>
      <c r="E514" s="55"/>
      <c r="F514" s="55"/>
      <c r="G514" s="55"/>
      <c r="H514" s="55"/>
      <c r="I514" s="55"/>
    </row>
    <row r="515" spans="1:9" x14ac:dyDescent="0.4">
      <c r="A515" s="55"/>
      <c r="D515" s="55"/>
      <c r="E515" s="55"/>
      <c r="F515" s="55"/>
      <c r="G515" s="55"/>
      <c r="H515" s="55"/>
      <c r="I515" s="55"/>
    </row>
    <row r="516" spans="1:9" x14ac:dyDescent="0.4">
      <c r="A516" s="55"/>
      <c r="D516" s="55"/>
      <c r="E516" s="55"/>
      <c r="F516" s="55"/>
      <c r="G516" s="55"/>
      <c r="H516" s="55"/>
      <c r="I516" s="55"/>
    </row>
    <row r="517" spans="1:9" x14ac:dyDescent="0.4">
      <c r="A517" s="55"/>
      <c r="D517" s="55"/>
      <c r="E517" s="55"/>
      <c r="F517" s="55"/>
      <c r="G517" s="55"/>
      <c r="H517" s="55"/>
      <c r="I517" s="55"/>
    </row>
    <row r="518" spans="1:9" x14ac:dyDescent="0.4">
      <c r="A518" s="55"/>
      <c r="D518" s="55"/>
      <c r="E518" s="55"/>
      <c r="F518" s="55"/>
      <c r="G518" s="55"/>
      <c r="H518" s="55"/>
      <c r="I518" s="55"/>
    </row>
    <row r="519" spans="1:9" x14ac:dyDescent="0.4">
      <c r="A519" s="55"/>
      <c r="D519" s="55"/>
      <c r="E519" s="55"/>
      <c r="F519" s="55"/>
      <c r="G519" s="55"/>
      <c r="H519" s="55"/>
      <c r="I519" s="55"/>
    </row>
    <row r="520" spans="1:9" x14ac:dyDescent="0.4">
      <c r="A520" s="55"/>
      <c r="D520" s="55"/>
      <c r="E520" s="55"/>
      <c r="F520" s="55"/>
      <c r="G520" s="55"/>
      <c r="H520" s="55"/>
      <c r="I520" s="55"/>
    </row>
    <row r="521" spans="1:9" x14ac:dyDescent="0.4">
      <c r="A521" s="55"/>
      <c r="D521" s="55"/>
      <c r="E521" s="55"/>
      <c r="F521" s="55"/>
      <c r="G521" s="55"/>
      <c r="H521" s="55"/>
      <c r="I521" s="55"/>
    </row>
    <row r="522" spans="1:9" x14ac:dyDescent="0.4">
      <c r="A522" s="55"/>
      <c r="D522" s="55"/>
      <c r="E522" s="55"/>
      <c r="F522" s="55"/>
      <c r="G522" s="55"/>
      <c r="H522" s="55"/>
      <c r="I522" s="55"/>
    </row>
    <row r="523" spans="1:9" x14ac:dyDescent="0.4">
      <c r="A523" s="55"/>
      <c r="D523" s="55"/>
      <c r="E523" s="55"/>
      <c r="F523" s="55"/>
      <c r="G523" s="55"/>
      <c r="H523" s="55"/>
      <c r="I523" s="55"/>
    </row>
    <row r="524" spans="1:9" x14ac:dyDescent="0.4">
      <c r="A524" s="55"/>
      <c r="D524" s="55"/>
      <c r="E524" s="55"/>
      <c r="F524" s="55"/>
      <c r="G524" s="55"/>
      <c r="H524" s="55"/>
      <c r="I524" s="55"/>
    </row>
    <row r="525" spans="1:9" x14ac:dyDescent="0.4">
      <c r="A525" s="55"/>
      <c r="D525" s="55"/>
      <c r="E525" s="55"/>
      <c r="F525" s="55"/>
      <c r="G525" s="55"/>
      <c r="H525" s="55"/>
      <c r="I525" s="55"/>
    </row>
    <row r="526" spans="1:9" x14ac:dyDescent="0.4">
      <c r="A526" s="55"/>
      <c r="D526" s="55"/>
      <c r="E526" s="55"/>
      <c r="F526" s="55"/>
      <c r="G526" s="55"/>
      <c r="H526" s="55"/>
      <c r="I526" s="55"/>
    </row>
    <row r="527" spans="1:9" x14ac:dyDescent="0.4">
      <c r="A527" s="55"/>
      <c r="D527" s="55"/>
      <c r="E527" s="55"/>
      <c r="F527" s="55"/>
      <c r="G527" s="55"/>
      <c r="H527" s="55"/>
      <c r="I527" s="55"/>
    </row>
    <row r="528" spans="1:9" x14ac:dyDescent="0.4">
      <c r="A528" s="55"/>
      <c r="D528" s="55"/>
      <c r="E528" s="55"/>
      <c r="F528" s="55"/>
      <c r="G528" s="55"/>
      <c r="H528" s="55"/>
      <c r="I528" s="55"/>
    </row>
    <row r="529" spans="1:9" x14ac:dyDescent="0.4">
      <c r="A529" s="55"/>
      <c r="D529" s="55"/>
      <c r="E529" s="55"/>
      <c r="F529" s="55"/>
      <c r="G529" s="55"/>
      <c r="H529" s="55"/>
      <c r="I529" s="55"/>
    </row>
    <row r="530" spans="1:9" x14ac:dyDescent="0.4">
      <c r="A530" s="55"/>
      <c r="D530" s="55"/>
      <c r="E530" s="55"/>
      <c r="F530" s="55"/>
      <c r="G530" s="55"/>
      <c r="H530" s="55"/>
      <c r="I530" s="55"/>
    </row>
    <row r="531" spans="1:9" x14ac:dyDescent="0.4">
      <c r="A531" s="55"/>
      <c r="D531" s="55"/>
      <c r="E531" s="55"/>
      <c r="F531" s="55"/>
      <c r="G531" s="55"/>
      <c r="H531" s="55"/>
      <c r="I531" s="55"/>
    </row>
    <row r="532" spans="1:9" x14ac:dyDescent="0.4">
      <c r="A532" s="55"/>
      <c r="D532" s="55"/>
      <c r="E532" s="55"/>
      <c r="F532" s="55"/>
      <c r="G532" s="55"/>
      <c r="H532" s="55"/>
      <c r="I532" s="55"/>
    </row>
    <row r="533" spans="1:9" x14ac:dyDescent="0.4">
      <c r="A533" s="55"/>
      <c r="D533" s="55"/>
      <c r="E533" s="55"/>
      <c r="F533" s="55"/>
      <c r="G533" s="55"/>
      <c r="H533" s="55"/>
      <c r="I533" s="55"/>
    </row>
    <row r="534" spans="1:9" x14ac:dyDescent="0.4">
      <c r="A534" s="55"/>
      <c r="D534" s="55"/>
      <c r="E534" s="55"/>
      <c r="F534" s="55"/>
      <c r="G534" s="55"/>
      <c r="H534" s="55"/>
      <c r="I534" s="55"/>
    </row>
    <row r="535" spans="1:9" x14ac:dyDescent="0.4">
      <c r="A535" s="55"/>
      <c r="D535" s="55"/>
      <c r="E535" s="55"/>
      <c r="F535" s="55"/>
      <c r="G535" s="55"/>
      <c r="H535" s="55"/>
      <c r="I535" s="55"/>
    </row>
    <row r="536" spans="1:9" x14ac:dyDescent="0.4">
      <c r="A536" s="55"/>
      <c r="D536" s="55"/>
      <c r="E536" s="55"/>
      <c r="F536" s="55"/>
      <c r="G536" s="55"/>
      <c r="H536" s="55"/>
      <c r="I536" s="55"/>
    </row>
    <row r="537" spans="1:9" x14ac:dyDescent="0.4">
      <c r="A537" s="55"/>
      <c r="D537" s="55"/>
      <c r="E537" s="55"/>
      <c r="F537" s="55"/>
      <c r="G537" s="55"/>
      <c r="H537" s="55"/>
      <c r="I537" s="55"/>
    </row>
    <row r="538" spans="1:9" x14ac:dyDescent="0.4">
      <c r="A538" s="55"/>
      <c r="D538" s="55"/>
      <c r="E538" s="55"/>
      <c r="F538" s="55"/>
      <c r="G538" s="55"/>
      <c r="H538" s="55"/>
      <c r="I538" s="55"/>
    </row>
    <row r="539" spans="1:9" x14ac:dyDescent="0.4">
      <c r="A539" s="55"/>
      <c r="D539" s="55"/>
      <c r="E539" s="55"/>
      <c r="F539" s="55"/>
      <c r="G539" s="55"/>
      <c r="H539" s="55"/>
      <c r="I539" s="55"/>
    </row>
    <row r="540" spans="1:9" x14ac:dyDescent="0.4">
      <c r="A540" s="55"/>
      <c r="D540" s="55"/>
      <c r="E540" s="55"/>
      <c r="F540" s="55"/>
      <c r="G540" s="55"/>
      <c r="H540" s="55"/>
      <c r="I540" s="55"/>
    </row>
    <row r="541" spans="1:9" x14ac:dyDescent="0.4">
      <c r="A541" s="55"/>
      <c r="D541" s="55"/>
      <c r="E541" s="55"/>
      <c r="F541" s="55"/>
      <c r="G541" s="55"/>
      <c r="H541" s="55"/>
      <c r="I541" s="55"/>
    </row>
    <row r="542" spans="1:9" x14ac:dyDescent="0.4">
      <c r="A542" s="55"/>
      <c r="D542" s="55"/>
      <c r="E542" s="55"/>
      <c r="F542" s="55"/>
      <c r="G542" s="55"/>
      <c r="H542" s="55"/>
      <c r="I542" s="55"/>
    </row>
    <row r="543" spans="1:9" x14ac:dyDescent="0.4">
      <c r="A543" s="55"/>
      <c r="D543" s="55"/>
      <c r="E543" s="55"/>
      <c r="F543" s="55"/>
      <c r="G543" s="55"/>
      <c r="H543" s="55"/>
      <c r="I543" s="55"/>
    </row>
    <row r="544" spans="1:9" x14ac:dyDescent="0.4">
      <c r="A544" s="55"/>
      <c r="D544" s="55"/>
      <c r="E544" s="55"/>
      <c r="F544" s="55"/>
      <c r="G544" s="55"/>
      <c r="H544" s="55"/>
      <c r="I544" s="55"/>
    </row>
    <row r="545" spans="1:9" x14ac:dyDescent="0.4">
      <c r="A545" s="55"/>
      <c r="D545" s="55"/>
      <c r="E545" s="55"/>
      <c r="F545" s="55"/>
      <c r="G545" s="55"/>
      <c r="H545" s="55"/>
      <c r="I545" s="55"/>
    </row>
    <row r="546" spans="1:9" x14ac:dyDescent="0.4">
      <c r="A546" s="55"/>
      <c r="D546" s="55"/>
      <c r="E546" s="55"/>
      <c r="F546" s="55"/>
      <c r="G546" s="55"/>
      <c r="H546" s="55"/>
      <c r="I546" s="55"/>
    </row>
    <row r="547" spans="1:9" x14ac:dyDescent="0.4">
      <c r="A547" s="55"/>
      <c r="D547" s="55"/>
      <c r="E547" s="55"/>
      <c r="F547" s="55"/>
      <c r="G547" s="55"/>
      <c r="H547" s="55"/>
      <c r="I547" s="55"/>
    </row>
    <row r="548" spans="1:9" x14ac:dyDescent="0.4">
      <c r="A548" s="55"/>
      <c r="D548" s="55"/>
      <c r="E548" s="55"/>
      <c r="F548" s="55"/>
      <c r="G548" s="55"/>
      <c r="H548" s="55"/>
      <c r="I548" s="55"/>
    </row>
    <row r="549" spans="1:9" x14ac:dyDescent="0.4">
      <c r="A549" s="55"/>
      <c r="D549" s="55"/>
      <c r="E549" s="55"/>
      <c r="F549" s="55"/>
      <c r="G549" s="55"/>
      <c r="H549" s="55"/>
      <c r="I549" s="55"/>
    </row>
    <row r="550" spans="1:9" x14ac:dyDescent="0.4">
      <c r="A550" s="55"/>
      <c r="D550" s="55"/>
      <c r="E550" s="55"/>
      <c r="F550" s="55"/>
      <c r="G550" s="55"/>
      <c r="H550" s="55"/>
      <c r="I550" s="55"/>
    </row>
    <row r="551" spans="1:9" x14ac:dyDescent="0.4">
      <c r="A551" s="55"/>
      <c r="D551" s="55"/>
      <c r="E551" s="55"/>
      <c r="F551" s="55"/>
      <c r="G551" s="55"/>
      <c r="H551" s="55"/>
      <c r="I551" s="55"/>
    </row>
    <row r="552" spans="1:9" x14ac:dyDescent="0.4">
      <c r="A552" s="55"/>
      <c r="D552" s="55"/>
      <c r="E552" s="55"/>
      <c r="F552" s="55"/>
      <c r="G552" s="55"/>
      <c r="H552" s="55"/>
      <c r="I552" s="55"/>
    </row>
    <row r="553" spans="1:9" x14ac:dyDescent="0.4">
      <c r="A553" s="55"/>
      <c r="D553" s="55"/>
      <c r="E553" s="55"/>
      <c r="F553" s="55"/>
      <c r="G553" s="55"/>
      <c r="H553" s="55"/>
      <c r="I553" s="55"/>
    </row>
    <row r="554" spans="1:9" x14ac:dyDescent="0.4">
      <c r="A554" s="55"/>
      <c r="D554" s="55"/>
      <c r="E554" s="55"/>
      <c r="F554" s="55"/>
      <c r="G554" s="55"/>
      <c r="H554" s="55"/>
      <c r="I554" s="55"/>
    </row>
    <row r="555" spans="1:9" x14ac:dyDescent="0.4">
      <c r="A555" s="55"/>
      <c r="D555" s="55"/>
      <c r="E555" s="55"/>
      <c r="F555" s="55"/>
      <c r="G555" s="55"/>
      <c r="H555" s="55"/>
      <c r="I555" s="55"/>
    </row>
    <row r="556" spans="1:9" x14ac:dyDescent="0.4">
      <c r="A556" s="55"/>
      <c r="D556" s="55"/>
      <c r="E556" s="55"/>
      <c r="F556" s="55"/>
      <c r="G556" s="55"/>
      <c r="H556" s="55"/>
      <c r="I556" s="55"/>
    </row>
    <row r="557" spans="1:9" x14ac:dyDescent="0.4">
      <c r="A557" s="55"/>
      <c r="D557" s="55"/>
      <c r="E557" s="55"/>
      <c r="F557" s="55"/>
      <c r="G557" s="55"/>
      <c r="H557" s="55"/>
      <c r="I557" s="55"/>
    </row>
    <row r="558" spans="1:9" x14ac:dyDescent="0.4">
      <c r="A558" s="55"/>
      <c r="D558" s="55"/>
      <c r="E558" s="55"/>
      <c r="F558" s="55"/>
      <c r="G558" s="55"/>
      <c r="H558" s="55"/>
      <c r="I558" s="55"/>
    </row>
    <row r="559" spans="1:9" x14ac:dyDescent="0.4">
      <c r="A559" s="55"/>
      <c r="D559" s="55"/>
      <c r="E559" s="55"/>
      <c r="F559" s="55"/>
      <c r="G559" s="55"/>
      <c r="H559" s="55"/>
      <c r="I559" s="55"/>
    </row>
    <row r="560" spans="1:9" x14ac:dyDescent="0.4">
      <c r="A560" s="55"/>
      <c r="D560" s="55"/>
      <c r="E560" s="55"/>
      <c r="F560" s="55"/>
      <c r="G560" s="55"/>
      <c r="H560" s="55"/>
      <c r="I560" s="55"/>
    </row>
    <row r="561" spans="1:9" x14ac:dyDescent="0.4">
      <c r="A561" s="55"/>
      <c r="D561" s="55"/>
      <c r="E561" s="55"/>
      <c r="F561" s="55"/>
      <c r="G561" s="55"/>
      <c r="H561" s="55"/>
      <c r="I561" s="55"/>
    </row>
    <row r="562" spans="1:9" x14ac:dyDescent="0.4">
      <c r="A562" s="55"/>
      <c r="D562" s="55"/>
      <c r="E562" s="55"/>
      <c r="F562" s="55"/>
      <c r="G562" s="55"/>
      <c r="H562" s="55"/>
      <c r="I562" s="55"/>
    </row>
    <row r="563" spans="1:9" x14ac:dyDescent="0.4">
      <c r="A563" s="55"/>
      <c r="D563" s="55"/>
      <c r="E563" s="55"/>
      <c r="F563" s="55"/>
      <c r="G563" s="55"/>
      <c r="H563" s="55"/>
      <c r="I563" s="55"/>
    </row>
    <row r="564" spans="1:9" x14ac:dyDescent="0.4">
      <c r="A564" s="55"/>
      <c r="D564" s="55"/>
      <c r="E564" s="55"/>
      <c r="F564" s="55"/>
      <c r="G564" s="55"/>
      <c r="H564" s="55"/>
      <c r="I564" s="55"/>
    </row>
    <row r="565" spans="1:9" x14ac:dyDescent="0.4">
      <c r="A565" s="55"/>
      <c r="D565" s="55"/>
      <c r="E565" s="55"/>
      <c r="F565" s="55"/>
      <c r="G565" s="55"/>
      <c r="H565" s="55"/>
      <c r="I565" s="55"/>
    </row>
    <row r="566" spans="1:9" x14ac:dyDescent="0.4">
      <c r="A566" s="55"/>
      <c r="D566" s="55"/>
      <c r="E566" s="55"/>
      <c r="F566" s="55"/>
      <c r="G566" s="55"/>
      <c r="H566" s="55"/>
      <c r="I566" s="55"/>
    </row>
    <row r="567" spans="1:9" x14ac:dyDescent="0.4">
      <c r="A567" s="55"/>
      <c r="D567" s="55"/>
      <c r="E567" s="55"/>
      <c r="F567" s="55"/>
      <c r="G567" s="55"/>
      <c r="H567" s="55"/>
      <c r="I567" s="55"/>
    </row>
    <row r="568" spans="1:9" x14ac:dyDescent="0.4">
      <c r="A568" s="55"/>
      <c r="D568" s="55"/>
      <c r="E568" s="55"/>
      <c r="F568" s="55"/>
      <c r="G568" s="55"/>
      <c r="H568" s="55"/>
      <c r="I568" s="55"/>
    </row>
    <row r="569" spans="1:9" x14ac:dyDescent="0.4">
      <c r="A569" s="55"/>
      <c r="D569" s="55"/>
      <c r="E569" s="55"/>
      <c r="F569" s="55"/>
      <c r="G569" s="55"/>
      <c r="H569" s="55"/>
      <c r="I569" s="55"/>
    </row>
    <row r="570" spans="1:9" x14ac:dyDescent="0.4">
      <c r="A570" s="55"/>
      <c r="D570" s="55"/>
      <c r="E570" s="55"/>
      <c r="F570" s="55"/>
      <c r="G570" s="55"/>
      <c r="H570" s="55"/>
      <c r="I570" s="55"/>
    </row>
    <row r="571" spans="1:9" x14ac:dyDescent="0.4">
      <c r="A571" s="55"/>
      <c r="D571" s="55"/>
      <c r="E571" s="55"/>
      <c r="F571" s="55"/>
      <c r="G571" s="55"/>
      <c r="H571" s="55"/>
      <c r="I571" s="55"/>
    </row>
    <row r="572" spans="1:9" x14ac:dyDescent="0.4">
      <c r="A572" s="55"/>
      <c r="D572" s="55"/>
      <c r="E572" s="55"/>
      <c r="F572" s="55"/>
      <c r="G572" s="55"/>
      <c r="H572" s="55"/>
      <c r="I572" s="55"/>
    </row>
    <row r="573" spans="1:9" x14ac:dyDescent="0.4">
      <c r="A573" s="55"/>
      <c r="D573" s="55"/>
      <c r="E573" s="55"/>
      <c r="F573" s="55"/>
      <c r="G573" s="55"/>
      <c r="H573" s="55"/>
      <c r="I573" s="55"/>
    </row>
    <row r="574" spans="1:9" x14ac:dyDescent="0.4">
      <c r="A574" s="55"/>
      <c r="D574" s="55"/>
      <c r="E574" s="55"/>
      <c r="F574" s="55"/>
      <c r="G574" s="55"/>
      <c r="H574" s="55"/>
      <c r="I574" s="55"/>
    </row>
    <row r="575" spans="1:9" x14ac:dyDescent="0.4">
      <c r="A575" s="55"/>
      <c r="D575" s="55"/>
      <c r="E575" s="55"/>
      <c r="F575" s="55"/>
      <c r="G575" s="55"/>
      <c r="H575" s="55"/>
      <c r="I575" s="55"/>
    </row>
    <row r="576" spans="1:9" x14ac:dyDescent="0.4">
      <c r="A576" s="55"/>
      <c r="D576" s="55"/>
      <c r="E576" s="55"/>
      <c r="F576" s="55"/>
      <c r="G576" s="55"/>
      <c r="H576" s="55"/>
      <c r="I576" s="55"/>
    </row>
    <row r="577" spans="1:9" x14ac:dyDescent="0.4">
      <c r="A577" s="55"/>
      <c r="D577" s="55"/>
      <c r="E577" s="55"/>
      <c r="F577" s="55"/>
      <c r="G577" s="55"/>
      <c r="H577" s="55"/>
      <c r="I577" s="55"/>
    </row>
    <row r="578" spans="1:9" x14ac:dyDescent="0.4">
      <c r="A578" s="55"/>
      <c r="D578" s="55"/>
      <c r="E578" s="55"/>
      <c r="F578" s="55"/>
      <c r="G578" s="55"/>
      <c r="H578" s="55"/>
      <c r="I578" s="55"/>
    </row>
    <row r="579" spans="1:9" x14ac:dyDescent="0.4">
      <c r="A579" s="55"/>
      <c r="D579" s="55"/>
      <c r="E579" s="55"/>
      <c r="F579" s="55"/>
      <c r="G579" s="55"/>
      <c r="H579" s="55"/>
      <c r="I579" s="55"/>
    </row>
    <row r="580" spans="1:9" x14ac:dyDescent="0.4">
      <c r="A580" s="55"/>
      <c r="D580" s="55"/>
      <c r="E580" s="55"/>
      <c r="F580" s="55"/>
      <c r="G580" s="55"/>
      <c r="H580" s="55"/>
      <c r="I580" s="55"/>
    </row>
    <row r="581" spans="1:9" x14ac:dyDescent="0.4">
      <c r="A581" s="55"/>
      <c r="D581" s="55"/>
      <c r="E581" s="55"/>
      <c r="F581" s="55"/>
      <c r="G581" s="55"/>
      <c r="H581" s="55"/>
      <c r="I581" s="55"/>
    </row>
    <row r="582" spans="1:9" x14ac:dyDescent="0.4">
      <c r="A582" s="55"/>
      <c r="D582" s="55"/>
      <c r="E582" s="55"/>
      <c r="F582" s="55"/>
      <c r="G582" s="55"/>
      <c r="H582" s="55"/>
      <c r="I582" s="55"/>
    </row>
    <row r="583" spans="1:9" x14ac:dyDescent="0.4">
      <c r="A583" s="55"/>
      <c r="D583" s="55"/>
      <c r="E583" s="55"/>
      <c r="F583" s="55"/>
      <c r="G583" s="55"/>
      <c r="H583" s="55"/>
      <c r="I583" s="55"/>
    </row>
    <row r="584" spans="1:9" x14ac:dyDescent="0.4">
      <c r="A584" s="55"/>
      <c r="D584" s="55"/>
      <c r="E584" s="55"/>
      <c r="F584" s="55"/>
      <c r="G584" s="55"/>
      <c r="H584" s="55"/>
      <c r="I584" s="55"/>
    </row>
    <row r="585" spans="1:9" x14ac:dyDescent="0.4">
      <c r="A585" s="55"/>
      <c r="D585" s="55"/>
      <c r="E585" s="55"/>
      <c r="F585" s="55"/>
      <c r="G585" s="55"/>
      <c r="H585" s="55"/>
      <c r="I585" s="55"/>
    </row>
    <row r="586" spans="1:9" x14ac:dyDescent="0.4">
      <c r="A586" s="55"/>
      <c r="D586" s="55"/>
      <c r="E586" s="55"/>
      <c r="F586" s="55"/>
      <c r="G586" s="55"/>
      <c r="H586" s="55"/>
      <c r="I586" s="55"/>
    </row>
    <row r="587" spans="1:9" x14ac:dyDescent="0.4">
      <c r="A587" s="55"/>
      <c r="D587" s="55"/>
      <c r="E587" s="55"/>
      <c r="F587" s="55"/>
      <c r="G587" s="55"/>
      <c r="H587" s="55"/>
      <c r="I587" s="55"/>
    </row>
    <row r="588" spans="1:9" x14ac:dyDescent="0.4">
      <c r="A588" s="55"/>
      <c r="D588" s="55"/>
      <c r="E588" s="55"/>
      <c r="F588" s="55"/>
      <c r="G588" s="55"/>
      <c r="H588" s="55"/>
      <c r="I588" s="55"/>
    </row>
    <row r="589" spans="1:9" x14ac:dyDescent="0.4">
      <c r="A589" s="55"/>
      <c r="D589" s="55"/>
      <c r="E589" s="55"/>
      <c r="F589" s="55"/>
      <c r="G589" s="55"/>
      <c r="H589" s="55"/>
      <c r="I589" s="55"/>
    </row>
    <row r="590" spans="1:9" x14ac:dyDescent="0.4">
      <c r="A590" s="55"/>
      <c r="D590" s="55"/>
      <c r="E590" s="55"/>
      <c r="F590" s="55"/>
      <c r="G590" s="55"/>
      <c r="H590" s="55"/>
      <c r="I590" s="55"/>
    </row>
    <row r="591" spans="1:9" x14ac:dyDescent="0.4">
      <c r="A591" s="55"/>
      <c r="D591" s="55"/>
      <c r="E591" s="55"/>
      <c r="F591" s="55"/>
      <c r="G591" s="55"/>
      <c r="H591" s="55"/>
      <c r="I591" s="55"/>
    </row>
    <row r="592" spans="1:9" x14ac:dyDescent="0.4">
      <c r="A592" s="55"/>
      <c r="D592" s="55"/>
      <c r="E592" s="55"/>
      <c r="F592" s="55"/>
      <c r="G592" s="55"/>
      <c r="H592" s="55"/>
      <c r="I592" s="55"/>
    </row>
    <row r="593" spans="1:9" x14ac:dyDescent="0.4">
      <c r="A593" s="55"/>
      <c r="D593" s="55"/>
      <c r="E593" s="55"/>
      <c r="F593" s="55"/>
      <c r="G593" s="55"/>
      <c r="H593" s="55"/>
      <c r="I593" s="55"/>
    </row>
    <row r="594" spans="1:9" x14ac:dyDescent="0.4">
      <c r="A594" s="55"/>
      <c r="D594" s="55"/>
      <c r="E594" s="55"/>
      <c r="F594" s="55"/>
      <c r="G594" s="55"/>
      <c r="H594" s="55"/>
      <c r="I594" s="55"/>
    </row>
    <row r="595" spans="1:9" x14ac:dyDescent="0.4">
      <c r="A595" s="55"/>
      <c r="D595" s="55"/>
      <c r="E595" s="55"/>
      <c r="F595" s="55"/>
      <c r="G595" s="55"/>
      <c r="H595" s="55"/>
      <c r="I595" s="55"/>
    </row>
    <row r="596" spans="1:9" x14ac:dyDescent="0.4">
      <c r="A596" s="55"/>
      <c r="D596" s="55"/>
      <c r="E596" s="55"/>
      <c r="F596" s="55"/>
      <c r="G596" s="55"/>
      <c r="H596" s="55"/>
      <c r="I596" s="55"/>
    </row>
    <row r="597" spans="1:9" x14ac:dyDescent="0.4">
      <c r="A597" s="55"/>
      <c r="D597" s="55"/>
      <c r="E597" s="55"/>
      <c r="F597" s="55"/>
      <c r="G597" s="55"/>
      <c r="H597" s="55"/>
      <c r="I597" s="55"/>
    </row>
    <row r="598" spans="1:9" x14ac:dyDescent="0.4">
      <c r="A598" s="55"/>
      <c r="D598" s="55"/>
      <c r="E598" s="55"/>
      <c r="F598" s="55"/>
      <c r="G598" s="55"/>
      <c r="H598" s="55"/>
      <c r="I598" s="55"/>
    </row>
    <row r="599" spans="1:9" x14ac:dyDescent="0.4">
      <c r="A599" s="55"/>
      <c r="D599" s="55"/>
      <c r="E599" s="55"/>
      <c r="F599" s="55"/>
      <c r="G599" s="55"/>
      <c r="H599" s="55"/>
      <c r="I599" s="55"/>
    </row>
    <row r="600" spans="1:9" x14ac:dyDescent="0.4">
      <c r="A600" s="55"/>
      <c r="D600" s="55"/>
      <c r="E600" s="55"/>
      <c r="F600" s="55"/>
      <c r="G600" s="55"/>
      <c r="H600" s="55"/>
      <c r="I600" s="55"/>
    </row>
    <row r="601" spans="1:9" x14ac:dyDescent="0.4">
      <c r="A601" s="55"/>
      <c r="D601" s="55"/>
      <c r="E601" s="55"/>
      <c r="F601" s="55"/>
      <c r="G601" s="55"/>
      <c r="H601" s="55"/>
      <c r="I601" s="55"/>
    </row>
    <row r="602" spans="1:9" x14ac:dyDescent="0.4">
      <c r="A602" s="55"/>
      <c r="D602" s="55"/>
      <c r="E602" s="55"/>
      <c r="F602" s="55"/>
      <c r="G602" s="55"/>
      <c r="H602" s="55"/>
      <c r="I602" s="55"/>
    </row>
    <row r="603" spans="1:9" x14ac:dyDescent="0.4">
      <c r="A603" s="55"/>
      <c r="D603" s="55"/>
      <c r="E603" s="55"/>
      <c r="F603" s="55"/>
      <c r="G603" s="55"/>
      <c r="H603" s="55"/>
      <c r="I603" s="55"/>
    </row>
    <row r="604" spans="1:9" x14ac:dyDescent="0.4">
      <c r="A604" s="55"/>
      <c r="D604" s="55"/>
      <c r="E604" s="55"/>
      <c r="F604" s="55"/>
      <c r="G604" s="55"/>
      <c r="H604" s="55"/>
      <c r="I604" s="55"/>
    </row>
    <row r="605" spans="1:9" x14ac:dyDescent="0.4">
      <c r="A605" s="55"/>
      <c r="D605" s="55"/>
      <c r="E605" s="55"/>
      <c r="F605" s="55"/>
      <c r="G605" s="55"/>
      <c r="H605" s="55"/>
      <c r="I605" s="55"/>
    </row>
    <row r="606" spans="1:9" x14ac:dyDescent="0.4">
      <c r="A606" s="55"/>
      <c r="D606" s="55"/>
      <c r="E606" s="55"/>
      <c r="F606" s="55"/>
      <c r="G606" s="55"/>
      <c r="H606" s="55"/>
      <c r="I606" s="55"/>
    </row>
    <row r="607" spans="1:9" x14ac:dyDescent="0.4">
      <c r="A607" s="55"/>
      <c r="D607" s="55"/>
      <c r="E607" s="55"/>
      <c r="F607" s="55"/>
      <c r="G607" s="55"/>
      <c r="H607" s="55"/>
      <c r="I607" s="55"/>
    </row>
    <row r="608" spans="1:9" x14ac:dyDescent="0.4">
      <c r="A608" s="55"/>
      <c r="D608" s="55"/>
      <c r="E608" s="55"/>
      <c r="F608" s="55"/>
      <c r="G608" s="55"/>
      <c r="H608" s="55"/>
      <c r="I608" s="55"/>
    </row>
    <row r="609" spans="1:9" x14ac:dyDescent="0.4">
      <c r="A609" s="55"/>
      <c r="D609" s="55"/>
      <c r="E609" s="55"/>
      <c r="F609" s="55"/>
      <c r="G609" s="55"/>
      <c r="H609" s="55"/>
      <c r="I609" s="55"/>
    </row>
    <row r="610" spans="1:9" x14ac:dyDescent="0.4">
      <c r="A610" s="55"/>
      <c r="D610" s="55"/>
      <c r="E610" s="55"/>
      <c r="F610" s="55"/>
      <c r="G610" s="55"/>
      <c r="H610" s="55"/>
      <c r="I610" s="55"/>
    </row>
    <row r="611" spans="1:9" x14ac:dyDescent="0.4">
      <c r="A611" s="55"/>
      <c r="D611" s="55"/>
      <c r="E611" s="55"/>
      <c r="F611" s="55"/>
      <c r="G611" s="55"/>
      <c r="H611" s="55"/>
      <c r="I611" s="55"/>
    </row>
    <row r="612" spans="1:9" x14ac:dyDescent="0.4">
      <c r="A612" s="55"/>
      <c r="D612" s="55"/>
      <c r="E612" s="55"/>
      <c r="F612" s="55"/>
      <c r="G612" s="55"/>
      <c r="H612" s="55"/>
      <c r="I612" s="55"/>
    </row>
    <row r="613" spans="1:9" x14ac:dyDescent="0.4">
      <c r="A613" s="55"/>
      <c r="D613" s="55"/>
      <c r="E613" s="55"/>
      <c r="F613" s="55"/>
      <c r="G613" s="55"/>
      <c r="H613" s="55"/>
      <c r="I613" s="55"/>
    </row>
    <row r="614" spans="1:9" x14ac:dyDescent="0.4">
      <c r="A614" s="55"/>
      <c r="D614" s="55"/>
      <c r="E614" s="55"/>
      <c r="F614" s="55"/>
      <c r="G614" s="55"/>
      <c r="H614" s="55"/>
      <c r="I614" s="55"/>
    </row>
    <row r="615" spans="1:9" x14ac:dyDescent="0.4">
      <c r="A615" s="55"/>
      <c r="D615" s="55"/>
      <c r="E615" s="55"/>
      <c r="F615" s="55"/>
      <c r="G615" s="55"/>
      <c r="H615" s="55"/>
      <c r="I615" s="55"/>
    </row>
    <row r="616" spans="1:9" x14ac:dyDescent="0.4">
      <c r="A616" s="55"/>
      <c r="D616" s="55"/>
      <c r="E616" s="55"/>
      <c r="F616" s="55"/>
      <c r="G616" s="55"/>
      <c r="H616" s="55"/>
      <c r="I616" s="55"/>
    </row>
    <row r="617" spans="1:9" x14ac:dyDescent="0.4">
      <c r="A617" s="55"/>
      <c r="D617" s="55"/>
      <c r="E617" s="55"/>
      <c r="F617" s="55"/>
      <c r="G617" s="55"/>
      <c r="H617" s="55"/>
      <c r="I617" s="55"/>
    </row>
    <row r="618" spans="1:9" x14ac:dyDescent="0.4">
      <c r="A618" s="55"/>
      <c r="D618" s="55"/>
      <c r="E618" s="55"/>
      <c r="F618" s="55"/>
      <c r="G618" s="55"/>
      <c r="H618" s="55"/>
      <c r="I618" s="55"/>
    </row>
    <row r="619" spans="1:9" x14ac:dyDescent="0.4">
      <c r="A619" s="55"/>
      <c r="D619" s="55"/>
      <c r="E619" s="55"/>
      <c r="F619" s="55"/>
      <c r="G619" s="55"/>
      <c r="H619" s="55"/>
      <c r="I619" s="55"/>
    </row>
    <row r="620" spans="1:9" x14ac:dyDescent="0.4">
      <c r="A620" s="55"/>
      <c r="D620" s="55"/>
      <c r="E620" s="55"/>
      <c r="F620" s="55"/>
      <c r="G620" s="55"/>
      <c r="H620" s="55"/>
      <c r="I620" s="55"/>
    </row>
    <row r="621" spans="1:9" x14ac:dyDescent="0.4">
      <c r="A621" s="55"/>
      <c r="D621" s="55"/>
      <c r="E621" s="55"/>
      <c r="F621" s="55"/>
      <c r="G621" s="55"/>
      <c r="H621" s="55"/>
      <c r="I621" s="55"/>
    </row>
    <row r="622" spans="1:9" x14ac:dyDescent="0.4">
      <c r="A622" s="55"/>
      <c r="D622" s="55"/>
      <c r="E622" s="55"/>
      <c r="F622" s="55"/>
      <c r="G622" s="55"/>
      <c r="H622" s="55"/>
      <c r="I622" s="55"/>
    </row>
    <row r="623" spans="1:9" x14ac:dyDescent="0.4">
      <c r="A623" s="55"/>
      <c r="D623" s="55"/>
      <c r="E623" s="55"/>
      <c r="F623" s="55"/>
      <c r="G623" s="55"/>
      <c r="H623" s="55"/>
      <c r="I623" s="55"/>
    </row>
    <row r="624" spans="1:9" x14ac:dyDescent="0.4">
      <c r="A624" s="55"/>
      <c r="D624" s="55"/>
      <c r="E624" s="55"/>
      <c r="F624" s="55"/>
      <c r="G624" s="55"/>
      <c r="H624" s="55"/>
      <c r="I624" s="55"/>
    </row>
    <row r="625" spans="1:9" x14ac:dyDescent="0.4">
      <c r="A625" s="55"/>
      <c r="D625" s="55"/>
      <c r="E625" s="55"/>
      <c r="F625" s="55"/>
      <c r="G625" s="55"/>
      <c r="H625" s="55"/>
      <c r="I625" s="55"/>
    </row>
    <row r="626" spans="1:9" x14ac:dyDescent="0.4">
      <c r="A626" s="55"/>
      <c r="D626" s="55"/>
      <c r="E626" s="55"/>
      <c r="F626" s="55"/>
      <c r="G626" s="55"/>
      <c r="H626" s="55"/>
      <c r="I626" s="55"/>
    </row>
    <row r="627" spans="1:9" x14ac:dyDescent="0.4">
      <c r="A627" s="55"/>
      <c r="D627" s="55"/>
      <c r="E627" s="55"/>
      <c r="F627" s="55"/>
      <c r="G627" s="55"/>
      <c r="H627" s="55"/>
      <c r="I627" s="55"/>
    </row>
    <row r="628" spans="1:9" x14ac:dyDescent="0.4">
      <c r="A628" s="55"/>
      <c r="D628" s="55"/>
      <c r="E628" s="55"/>
      <c r="F628" s="55"/>
      <c r="G628" s="55"/>
      <c r="H628" s="55"/>
      <c r="I628" s="55"/>
    </row>
    <row r="629" spans="1:9" x14ac:dyDescent="0.4">
      <c r="A629" s="55"/>
      <c r="D629" s="55"/>
      <c r="E629" s="55"/>
      <c r="F629" s="55"/>
      <c r="G629" s="55"/>
      <c r="H629" s="55"/>
      <c r="I629" s="55"/>
    </row>
    <row r="630" spans="1:9" x14ac:dyDescent="0.4">
      <c r="A630" s="55"/>
      <c r="D630" s="55"/>
      <c r="E630" s="55"/>
      <c r="F630" s="55"/>
      <c r="G630" s="55"/>
      <c r="H630" s="55"/>
      <c r="I630" s="55"/>
    </row>
    <row r="631" spans="1:9" x14ac:dyDescent="0.4">
      <c r="A631" s="55"/>
      <c r="D631" s="55"/>
      <c r="E631" s="55"/>
      <c r="F631" s="55"/>
      <c r="G631" s="55"/>
      <c r="H631" s="55"/>
      <c r="I631" s="55"/>
    </row>
    <row r="632" spans="1:9" x14ac:dyDescent="0.4">
      <c r="A632" s="55"/>
      <c r="D632" s="55"/>
      <c r="E632" s="55"/>
      <c r="F632" s="55"/>
      <c r="G632" s="55"/>
      <c r="H632" s="55"/>
      <c r="I632" s="55"/>
    </row>
    <row r="633" spans="1:9" x14ac:dyDescent="0.4">
      <c r="A633" s="55"/>
      <c r="D633" s="55"/>
      <c r="E633" s="55"/>
      <c r="F633" s="55"/>
      <c r="G633" s="55"/>
      <c r="H633" s="55"/>
      <c r="I633" s="55"/>
    </row>
    <row r="634" spans="1:9" x14ac:dyDescent="0.4">
      <c r="A634" s="55"/>
      <c r="D634" s="55"/>
      <c r="E634" s="55"/>
      <c r="F634" s="55"/>
      <c r="G634" s="55"/>
      <c r="H634" s="55"/>
      <c r="I634" s="55"/>
    </row>
    <row r="635" spans="1:9" x14ac:dyDescent="0.4">
      <c r="A635" s="55"/>
      <c r="D635" s="55"/>
      <c r="E635" s="55"/>
      <c r="F635" s="55"/>
      <c r="G635" s="55"/>
      <c r="H635" s="55"/>
      <c r="I635" s="55"/>
    </row>
    <row r="636" spans="1:9" x14ac:dyDescent="0.4">
      <c r="A636" s="55"/>
      <c r="D636" s="55"/>
      <c r="E636" s="55"/>
      <c r="F636" s="55"/>
      <c r="G636" s="55"/>
      <c r="H636" s="55"/>
      <c r="I636" s="55"/>
    </row>
    <row r="637" spans="1:9" x14ac:dyDescent="0.4">
      <c r="A637" s="55"/>
      <c r="D637" s="55"/>
      <c r="E637" s="55"/>
      <c r="F637" s="55"/>
      <c r="G637" s="55"/>
      <c r="H637" s="55"/>
      <c r="I637" s="55"/>
    </row>
    <row r="638" spans="1:9" x14ac:dyDescent="0.4">
      <c r="A638" s="55"/>
      <c r="D638" s="55"/>
      <c r="E638" s="55"/>
      <c r="F638" s="55"/>
      <c r="G638" s="55"/>
      <c r="H638" s="55"/>
      <c r="I638" s="55"/>
    </row>
    <row r="639" spans="1:9" x14ac:dyDescent="0.4">
      <c r="A639" s="55"/>
      <c r="D639" s="55"/>
      <c r="E639" s="55"/>
      <c r="F639" s="55"/>
      <c r="G639" s="55"/>
      <c r="H639" s="55"/>
      <c r="I639" s="55"/>
    </row>
    <row r="640" spans="1:9" x14ac:dyDescent="0.4">
      <c r="A640" s="55"/>
      <c r="D640" s="55"/>
      <c r="E640" s="55"/>
      <c r="F640" s="55"/>
      <c r="G640" s="55"/>
      <c r="H640" s="55"/>
      <c r="I640" s="55"/>
    </row>
    <row r="641" spans="1:9" x14ac:dyDescent="0.4">
      <c r="A641" s="55"/>
      <c r="D641" s="55"/>
      <c r="E641" s="55"/>
      <c r="F641" s="55"/>
      <c r="G641" s="55"/>
      <c r="H641" s="55"/>
      <c r="I641" s="55"/>
    </row>
    <row r="642" spans="1:9" x14ac:dyDescent="0.4">
      <c r="A642" s="55"/>
      <c r="D642" s="55"/>
      <c r="E642" s="55"/>
      <c r="F642" s="55"/>
      <c r="G642" s="55"/>
      <c r="H642" s="55"/>
      <c r="I642" s="55"/>
    </row>
    <row r="643" spans="1:9" x14ac:dyDescent="0.4">
      <c r="A643" s="55"/>
      <c r="D643" s="55"/>
      <c r="E643" s="55"/>
      <c r="F643" s="55"/>
      <c r="G643" s="55"/>
      <c r="H643" s="55"/>
      <c r="I643" s="55"/>
    </row>
    <row r="644" spans="1:9" x14ac:dyDescent="0.4">
      <c r="A644" s="55"/>
      <c r="D644" s="55"/>
      <c r="E644" s="55"/>
      <c r="F644" s="55"/>
      <c r="G644" s="55"/>
      <c r="H644" s="55"/>
      <c r="I644" s="55"/>
    </row>
    <row r="645" spans="1:9" x14ac:dyDescent="0.4">
      <c r="A645" s="55"/>
      <c r="D645" s="55"/>
      <c r="E645" s="55"/>
      <c r="F645" s="55"/>
      <c r="G645" s="55"/>
      <c r="H645" s="55"/>
      <c r="I645" s="55"/>
    </row>
    <row r="646" spans="1:9" x14ac:dyDescent="0.4">
      <c r="A646" s="55"/>
      <c r="D646" s="55"/>
      <c r="E646" s="55"/>
      <c r="F646" s="55"/>
      <c r="G646" s="55"/>
      <c r="H646" s="55"/>
      <c r="I646" s="55"/>
    </row>
    <row r="647" spans="1:9" x14ac:dyDescent="0.4">
      <c r="A647" s="55"/>
      <c r="D647" s="55"/>
      <c r="E647" s="55"/>
      <c r="F647" s="55"/>
      <c r="G647" s="55"/>
      <c r="H647" s="55"/>
      <c r="I647" s="55"/>
    </row>
    <row r="648" spans="1:9" x14ac:dyDescent="0.4">
      <c r="A648" s="55"/>
      <c r="D648" s="55"/>
      <c r="E648" s="55"/>
      <c r="F648" s="55"/>
      <c r="G648" s="55"/>
      <c r="H648" s="55"/>
      <c r="I648" s="55"/>
    </row>
    <row r="649" spans="1:9" x14ac:dyDescent="0.4">
      <c r="A649" s="55"/>
      <c r="D649" s="55"/>
      <c r="E649" s="55"/>
      <c r="F649" s="55"/>
      <c r="G649" s="55"/>
      <c r="H649" s="55"/>
      <c r="I649" s="55"/>
    </row>
    <row r="650" spans="1:9" x14ac:dyDescent="0.4">
      <c r="A650" s="55"/>
      <c r="D650" s="55"/>
      <c r="E650" s="55"/>
      <c r="F650" s="55"/>
      <c r="G650" s="55"/>
      <c r="H650" s="55"/>
      <c r="I650" s="55"/>
    </row>
    <row r="651" spans="1:9" x14ac:dyDescent="0.4">
      <c r="A651" s="55"/>
      <c r="D651" s="55"/>
      <c r="E651" s="55"/>
      <c r="F651" s="55"/>
      <c r="G651" s="55"/>
      <c r="H651" s="55"/>
      <c r="I651" s="55"/>
    </row>
    <row r="652" spans="1:9" x14ac:dyDescent="0.4">
      <c r="A652" s="55"/>
      <c r="D652" s="55"/>
      <c r="E652" s="55"/>
      <c r="F652" s="55"/>
      <c r="G652" s="55"/>
      <c r="H652" s="55"/>
      <c r="I652" s="55"/>
    </row>
    <row r="653" spans="1:9" x14ac:dyDescent="0.4">
      <c r="A653" s="55"/>
      <c r="D653" s="55"/>
      <c r="E653" s="55"/>
      <c r="F653" s="55"/>
      <c r="G653" s="55"/>
      <c r="H653" s="55"/>
      <c r="I653" s="55"/>
    </row>
    <row r="654" spans="1:9" x14ac:dyDescent="0.4">
      <c r="A654" s="55"/>
      <c r="D654" s="55"/>
      <c r="E654" s="55"/>
      <c r="F654" s="55"/>
      <c r="G654" s="55"/>
      <c r="H654" s="55"/>
      <c r="I654" s="55"/>
    </row>
    <row r="655" spans="1:9" x14ac:dyDescent="0.4">
      <c r="A655" s="55"/>
      <c r="D655" s="55"/>
      <c r="E655" s="55"/>
      <c r="F655" s="55"/>
      <c r="G655" s="55"/>
      <c r="H655" s="55"/>
      <c r="I655" s="55"/>
    </row>
    <row r="656" spans="1:9" x14ac:dyDescent="0.4">
      <c r="A656" s="55"/>
      <c r="D656" s="55"/>
      <c r="E656" s="55"/>
      <c r="F656" s="55"/>
      <c r="G656" s="55"/>
      <c r="H656" s="55"/>
      <c r="I656" s="55"/>
    </row>
    <row r="657" spans="1:9" x14ac:dyDescent="0.4">
      <c r="A657" s="55"/>
      <c r="D657" s="55"/>
      <c r="E657" s="55"/>
      <c r="F657" s="55"/>
      <c r="G657" s="55"/>
      <c r="H657" s="55"/>
      <c r="I657" s="55"/>
    </row>
    <row r="658" spans="1:9" x14ac:dyDescent="0.4">
      <c r="A658" s="55"/>
      <c r="D658" s="55"/>
      <c r="E658" s="55"/>
      <c r="F658" s="55"/>
      <c r="G658" s="55"/>
      <c r="H658" s="55"/>
      <c r="I658" s="55"/>
    </row>
    <row r="659" spans="1:9" x14ac:dyDescent="0.4">
      <c r="A659" s="55"/>
      <c r="D659" s="55"/>
      <c r="E659" s="55"/>
      <c r="F659" s="55"/>
      <c r="G659" s="55"/>
      <c r="H659" s="55"/>
      <c r="I659" s="55"/>
    </row>
    <row r="660" spans="1:9" x14ac:dyDescent="0.4">
      <c r="A660" s="55"/>
      <c r="D660" s="55"/>
      <c r="E660" s="55"/>
      <c r="F660" s="55"/>
      <c r="G660" s="55"/>
      <c r="H660" s="55"/>
      <c r="I660" s="55"/>
    </row>
    <row r="661" spans="1:9" x14ac:dyDescent="0.4">
      <c r="A661" s="55"/>
      <c r="D661" s="55"/>
      <c r="E661" s="55"/>
      <c r="F661" s="55"/>
      <c r="G661" s="55"/>
      <c r="H661" s="55"/>
      <c r="I661" s="55"/>
    </row>
    <row r="662" spans="1:9" x14ac:dyDescent="0.4">
      <c r="A662" s="55"/>
      <c r="D662" s="55"/>
      <c r="E662" s="55"/>
      <c r="F662" s="55"/>
      <c r="G662" s="55"/>
      <c r="H662" s="55"/>
      <c r="I662" s="55"/>
    </row>
    <row r="663" spans="1:9" x14ac:dyDescent="0.4">
      <c r="A663" s="55"/>
      <c r="D663" s="55"/>
      <c r="E663" s="55"/>
      <c r="F663" s="55"/>
      <c r="G663" s="55"/>
      <c r="H663" s="55"/>
      <c r="I663" s="55"/>
    </row>
    <row r="664" spans="1:9" x14ac:dyDescent="0.4">
      <c r="A664" s="55"/>
      <c r="D664" s="55"/>
      <c r="E664" s="55"/>
      <c r="F664" s="55"/>
      <c r="G664" s="55"/>
      <c r="H664" s="55"/>
      <c r="I664" s="55"/>
    </row>
    <row r="665" spans="1:9" x14ac:dyDescent="0.4">
      <c r="A665" s="55"/>
      <c r="D665" s="55"/>
      <c r="E665" s="55"/>
      <c r="F665" s="55"/>
      <c r="G665" s="55"/>
      <c r="H665" s="55"/>
      <c r="I665" s="55"/>
    </row>
    <row r="666" spans="1:9" x14ac:dyDescent="0.4">
      <c r="A666" s="55"/>
      <c r="D666" s="55"/>
      <c r="E666" s="55"/>
      <c r="F666" s="55"/>
      <c r="G666" s="55"/>
      <c r="H666" s="55"/>
      <c r="I666" s="55"/>
    </row>
    <row r="667" spans="1:9" x14ac:dyDescent="0.4">
      <c r="A667" s="55"/>
      <c r="D667" s="55"/>
      <c r="E667" s="55"/>
      <c r="F667" s="55"/>
      <c r="G667" s="55"/>
      <c r="H667" s="55"/>
      <c r="I667" s="55"/>
    </row>
    <row r="668" spans="1:9" x14ac:dyDescent="0.4">
      <c r="A668" s="55"/>
      <c r="D668" s="55"/>
      <c r="E668" s="55"/>
      <c r="F668" s="55"/>
      <c r="G668" s="55"/>
      <c r="H668" s="55"/>
      <c r="I668" s="55"/>
    </row>
    <row r="669" spans="1:9" x14ac:dyDescent="0.4">
      <c r="A669" s="55"/>
      <c r="D669" s="55"/>
      <c r="E669" s="55"/>
      <c r="F669" s="55"/>
      <c r="G669" s="55"/>
      <c r="H669" s="55"/>
      <c r="I669" s="55"/>
    </row>
    <row r="670" spans="1:9" x14ac:dyDescent="0.4">
      <c r="A670" s="55"/>
      <c r="D670" s="55"/>
      <c r="E670" s="55"/>
      <c r="F670" s="55"/>
      <c r="G670" s="55"/>
      <c r="H670" s="55"/>
      <c r="I670" s="55"/>
    </row>
    <row r="671" spans="1:9" x14ac:dyDescent="0.4">
      <c r="A671" s="55"/>
      <c r="D671" s="55"/>
      <c r="E671" s="55"/>
      <c r="F671" s="55"/>
      <c r="G671" s="55"/>
      <c r="H671" s="55"/>
      <c r="I671" s="55"/>
    </row>
    <row r="672" spans="1:9" x14ac:dyDescent="0.4">
      <c r="A672" s="55"/>
      <c r="D672" s="55"/>
      <c r="E672" s="55"/>
      <c r="F672" s="55"/>
      <c r="G672" s="55"/>
      <c r="H672" s="55"/>
      <c r="I672" s="55"/>
    </row>
    <row r="673" spans="1:9" x14ac:dyDescent="0.4">
      <c r="A673" s="55"/>
      <c r="D673" s="55"/>
      <c r="E673" s="55"/>
      <c r="F673" s="55"/>
      <c r="G673" s="55"/>
      <c r="H673" s="55"/>
      <c r="I673" s="55"/>
    </row>
    <row r="674" spans="1:9" x14ac:dyDescent="0.4">
      <c r="A674" s="55"/>
      <c r="D674" s="55"/>
      <c r="E674" s="55"/>
      <c r="F674" s="55"/>
      <c r="G674" s="55"/>
      <c r="H674" s="55"/>
      <c r="I674" s="55"/>
    </row>
    <row r="675" spans="1:9" x14ac:dyDescent="0.4">
      <c r="A675" s="55"/>
      <c r="D675" s="55"/>
      <c r="E675" s="55"/>
      <c r="F675" s="55"/>
      <c r="G675" s="55"/>
      <c r="H675" s="55"/>
      <c r="I675" s="55"/>
    </row>
    <row r="676" spans="1:9" x14ac:dyDescent="0.4">
      <c r="A676" s="55"/>
      <c r="D676" s="55"/>
      <c r="E676" s="55"/>
      <c r="F676" s="55"/>
      <c r="G676" s="55"/>
      <c r="H676" s="55"/>
      <c r="I676" s="55"/>
    </row>
    <row r="677" spans="1:9" x14ac:dyDescent="0.4">
      <c r="A677" s="55"/>
      <c r="D677" s="55"/>
      <c r="E677" s="55"/>
      <c r="F677" s="55"/>
      <c r="G677" s="55"/>
      <c r="H677" s="55"/>
      <c r="I677" s="55"/>
    </row>
    <row r="678" spans="1:9" x14ac:dyDescent="0.4">
      <c r="A678" s="55"/>
      <c r="D678" s="55"/>
      <c r="E678" s="55"/>
      <c r="F678" s="55"/>
      <c r="G678" s="55"/>
      <c r="H678" s="55"/>
      <c r="I678" s="55"/>
    </row>
    <row r="679" spans="1:9" x14ac:dyDescent="0.4">
      <c r="A679" s="55"/>
      <c r="D679" s="55"/>
      <c r="E679" s="55"/>
      <c r="F679" s="55"/>
      <c r="G679" s="55"/>
      <c r="H679" s="55"/>
      <c r="I679" s="55"/>
    </row>
    <row r="680" spans="1:9" x14ac:dyDescent="0.4">
      <c r="A680" s="55"/>
      <c r="D680" s="55"/>
      <c r="E680" s="55"/>
      <c r="F680" s="55"/>
      <c r="G680" s="55"/>
      <c r="H680" s="55"/>
      <c r="I680" s="55"/>
    </row>
    <row r="681" spans="1:9" x14ac:dyDescent="0.4">
      <c r="A681" s="55"/>
      <c r="D681" s="55"/>
      <c r="E681" s="55"/>
      <c r="F681" s="55"/>
      <c r="G681" s="55"/>
      <c r="H681" s="55"/>
      <c r="I681" s="55"/>
    </row>
    <row r="682" spans="1:9" x14ac:dyDescent="0.4">
      <c r="A682" s="55"/>
      <c r="D682" s="55"/>
      <c r="E682" s="55"/>
      <c r="F682" s="55"/>
      <c r="G682" s="55"/>
      <c r="H682" s="55"/>
      <c r="I682" s="55"/>
    </row>
    <row r="683" spans="1:9" x14ac:dyDescent="0.4">
      <c r="A683" s="55"/>
      <c r="D683" s="55"/>
      <c r="E683" s="55"/>
      <c r="F683" s="55"/>
      <c r="G683" s="55"/>
      <c r="H683" s="55"/>
      <c r="I683" s="55"/>
    </row>
    <row r="684" spans="1:9" x14ac:dyDescent="0.4">
      <c r="A684" s="55"/>
      <c r="D684" s="55"/>
      <c r="E684" s="55"/>
      <c r="F684" s="55"/>
      <c r="G684" s="55"/>
      <c r="H684" s="55"/>
      <c r="I684" s="55"/>
    </row>
    <row r="685" spans="1:9" x14ac:dyDescent="0.4">
      <c r="A685" s="55"/>
      <c r="D685" s="55"/>
      <c r="E685" s="55"/>
      <c r="F685" s="55"/>
      <c r="G685" s="55"/>
      <c r="H685" s="55"/>
      <c r="I685" s="55"/>
    </row>
    <row r="686" spans="1:9" x14ac:dyDescent="0.4">
      <c r="A686" s="55"/>
      <c r="D686" s="55"/>
      <c r="E686" s="55"/>
      <c r="F686" s="55"/>
      <c r="G686" s="55"/>
      <c r="H686" s="55"/>
      <c r="I686" s="55"/>
    </row>
    <row r="687" spans="1:9" x14ac:dyDescent="0.4">
      <c r="A687" s="55"/>
      <c r="D687" s="55"/>
      <c r="E687" s="55"/>
      <c r="F687" s="55"/>
      <c r="G687" s="55"/>
      <c r="H687" s="55"/>
      <c r="I687" s="55"/>
    </row>
    <row r="688" spans="1:9" x14ac:dyDescent="0.4">
      <c r="A688" s="55"/>
      <c r="D688" s="55"/>
      <c r="E688" s="55"/>
      <c r="F688" s="55"/>
      <c r="G688" s="55"/>
      <c r="H688" s="55"/>
      <c r="I688" s="55"/>
    </row>
    <row r="689" spans="1:9" x14ac:dyDescent="0.4">
      <c r="A689" s="55"/>
      <c r="D689" s="55"/>
      <c r="E689" s="55"/>
      <c r="F689" s="55"/>
      <c r="G689" s="55"/>
      <c r="H689" s="55"/>
      <c r="I689" s="55"/>
    </row>
    <row r="690" spans="1:9" x14ac:dyDescent="0.4">
      <c r="A690" s="55"/>
      <c r="D690" s="55"/>
      <c r="E690" s="55"/>
      <c r="F690" s="55"/>
      <c r="G690" s="55"/>
      <c r="H690" s="55"/>
      <c r="I690" s="55"/>
    </row>
    <row r="691" spans="1:9" x14ac:dyDescent="0.4">
      <c r="A691" s="55"/>
      <c r="D691" s="55"/>
      <c r="E691" s="55"/>
      <c r="F691" s="55"/>
      <c r="G691" s="55"/>
      <c r="H691" s="55"/>
      <c r="I691" s="55"/>
    </row>
    <row r="692" spans="1:9" x14ac:dyDescent="0.4">
      <c r="A692" s="55"/>
      <c r="D692" s="55"/>
      <c r="E692" s="55"/>
      <c r="F692" s="55"/>
      <c r="G692" s="55"/>
      <c r="H692" s="55"/>
      <c r="I692" s="55"/>
    </row>
    <row r="693" spans="1:9" x14ac:dyDescent="0.4">
      <c r="A693" s="55"/>
      <c r="D693" s="55"/>
      <c r="E693" s="55"/>
      <c r="F693" s="55"/>
      <c r="G693" s="55"/>
      <c r="H693" s="55"/>
      <c r="I693" s="55"/>
    </row>
    <row r="694" spans="1:9" x14ac:dyDescent="0.4">
      <c r="A694" s="55"/>
      <c r="D694" s="55"/>
      <c r="E694" s="55"/>
      <c r="F694" s="55"/>
      <c r="G694" s="55"/>
      <c r="H694" s="55"/>
      <c r="I694" s="55"/>
    </row>
    <row r="695" spans="1:9" x14ac:dyDescent="0.4">
      <c r="A695" s="55"/>
      <c r="D695" s="55"/>
      <c r="E695" s="55"/>
      <c r="F695" s="55"/>
      <c r="G695" s="55"/>
      <c r="H695" s="55"/>
      <c r="I695" s="55"/>
    </row>
    <row r="696" spans="1:9" x14ac:dyDescent="0.4">
      <c r="A696" s="55"/>
      <c r="D696" s="55"/>
      <c r="E696" s="55"/>
      <c r="F696" s="55"/>
      <c r="G696" s="55"/>
      <c r="H696" s="55"/>
      <c r="I696" s="55"/>
    </row>
    <row r="697" spans="1:9" x14ac:dyDescent="0.4">
      <c r="A697" s="55"/>
      <c r="D697" s="55"/>
      <c r="E697" s="55"/>
      <c r="F697" s="55"/>
      <c r="G697" s="55"/>
      <c r="H697" s="55"/>
      <c r="I697" s="55"/>
    </row>
    <row r="698" spans="1:9" x14ac:dyDescent="0.4">
      <c r="A698" s="55"/>
      <c r="D698" s="55"/>
      <c r="E698" s="55"/>
      <c r="F698" s="55"/>
      <c r="G698" s="55"/>
      <c r="H698" s="55"/>
      <c r="I698" s="55"/>
    </row>
    <row r="699" spans="1:9" x14ac:dyDescent="0.4">
      <c r="A699" s="55"/>
      <c r="D699" s="55"/>
      <c r="E699" s="55"/>
      <c r="F699" s="55"/>
      <c r="G699" s="55"/>
      <c r="H699" s="55"/>
      <c r="I699" s="55"/>
    </row>
    <row r="700" spans="1:9" x14ac:dyDescent="0.4">
      <c r="A700" s="55"/>
      <c r="D700" s="55"/>
      <c r="E700" s="55"/>
      <c r="F700" s="55"/>
      <c r="G700" s="55"/>
      <c r="H700" s="55"/>
      <c r="I700" s="55"/>
    </row>
    <row r="701" spans="1:9" x14ac:dyDescent="0.4">
      <c r="A701" s="55"/>
      <c r="D701" s="55"/>
      <c r="E701" s="55"/>
      <c r="F701" s="55"/>
      <c r="G701" s="55"/>
      <c r="H701" s="55"/>
      <c r="I701" s="55"/>
    </row>
    <row r="702" spans="1:9" x14ac:dyDescent="0.4">
      <c r="A702" s="55"/>
      <c r="D702" s="55"/>
      <c r="E702" s="55"/>
      <c r="F702" s="55"/>
      <c r="G702" s="55"/>
      <c r="H702" s="55"/>
      <c r="I702" s="55"/>
    </row>
    <row r="703" spans="1:9" x14ac:dyDescent="0.4">
      <c r="A703" s="55"/>
      <c r="D703" s="55"/>
      <c r="E703" s="55"/>
      <c r="F703" s="55"/>
      <c r="G703" s="55"/>
      <c r="H703" s="55"/>
      <c r="I703" s="55"/>
    </row>
    <row r="704" spans="1:9" x14ac:dyDescent="0.4">
      <c r="A704" s="55"/>
      <c r="D704" s="55"/>
      <c r="E704" s="55"/>
      <c r="F704" s="55"/>
      <c r="G704" s="55"/>
      <c r="H704" s="55"/>
      <c r="I704" s="55"/>
    </row>
    <row r="705" spans="1:9" x14ac:dyDescent="0.4">
      <c r="A705" s="55"/>
      <c r="D705" s="55"/>
      <c r="E705" s="55"/>
      <c r="F705" s="55"/>
      <c r="G705" s="55"/>
      <c r="H705" s="55"/>
      <c r="I705" s="55"/>
    </row>
    <row r="706" spans="1:9" x14ac:dyDescent="0.4">
      <c r="A706" s="55"/>
      <c r="D706" s="55"/>
      <c r="E706" s="55"/>
      <c r="F706" s="55"/>
      <c r="G706" s="55"/>
      <c r="H706" s="55"/>
      <c r="I706" s="55"/>
    </row>
    <row r="707" spans="1:9" x14ac:dyDescent="0.4">
      <c r="A707" s="55"/>
      <c r="D707" s="55"/>
      <c r="E707" s="55"/>
      <c r="F707" s="55"/>
      <c r="G707" s="55"/>
      <c r="H707" s="55"/>
      <c r="I707" s="55"/>
    </row>
    <row r="708" spans="1:9" x14ac:dyDescent="0.4">
      <c r="A708" s="55"/>
      <c r="D708" s="55"/>
      <c r="E708" s="55"/>
      <c r="F708" s="55"/>
      <c r="G708" s="55"/>
      <c r="H708" s="55"/>
      <c r="I708" s="55"/>
    </row>
    <row r="709" spans="1:9" x14ac:dyDescent="0.4">
      <c r="A709" s="55"/>
      <c r="D709" s="55"/>
      <c r="E709" s="55"/>
      <c r="F709" s="55"/>
      <c r="G709" s="55"/>
      <c r="H709" s="55"/>
      <c r="I709" s="55"/>
    </row>
    <row r="710" spans="1:9" x14ac:dyDescent="0.4">
      <c r="A710" s="55"/>
      <c r="D710" s="55"/>
      <c r="E710" s="55"/>
      <c r="F710" s="55"/>
      <c r="G710" s="55"/>
      <c r="H710" s="55"/>
      <c r="I710" s="55"/>
    </row>
    <row r="711" spans="1:9" x14ac:dyDescent="0.4">
      <c r="A711" s="55"/>
      <c r="D711" s="55"/>
      <c r="E711" s="55"/>
      <c r="F711" s="55"/>
      <c r="G711" s="55"/>
      <c r="H711" s="55"/>
      <c r="I711" s="55"/>
    </row>
    <row r="712" spans="1:9" x14ac:dyDescent="0.4">
      <c r="A712" s="55"/>
      <c r="D712" s="55"/>
      <c r="E712" s="55"/>
      <c r="F712" s="55"/>
      <c r="G712" s="55"/>
      <c r="H712" s="55"/>
      <c r="I712" s="55"/>
    </row>
    <row r="713" spans="1:9" x14ac:dyDescent="0.4">
      <c r="A713" s="55"/>
      <c r="D713" s="55"/>
      <c r="E713" s="55"/>
      <c r="F713" s="55"/>
      <c r="G713" s="55"/>
      <c r="H713" s="55"/>
      <c r="I713" s="55"/>
    </row>
    <row r="714" spans="1:9" x14ac:dyDescent="0.4">
      <c r="A714" s="55"/>
      <c r="D714" s="55"/>
      <c r="E714" s="55"/>
      <c r="F714" s="55"/>
      <c r="G714" s="55"/>
      <c r="H714" s="55"/>
      <c r="I714" s="55"/>
    </row>
    <row r="715" spans="1:9" x14ac:dyDescent="0.4">
      <c r="A715" s="55"/>
      <c r="D715" s="55"/>
      <c r="E715" s="55"/>
      <c r="F715" s="55"/>
      <c r="G715" s="55"/>
      <c r="H715" s="55"/>
      <c r="I715" s="55"/>
    </row>
    <row r="716" spans="1:9" x14ac:dyDescent="0.4">
      <c r="A716" s="55"/>
      <c r="D716" s="55"/>
      <c r="E716" s="55"/>
      <c r="F716" s="55"/>
      <c r="G716" s="55"/>
      <c r="H716" s="55"/>
      <c r="I716" s="55"/>
    </row>
    <row r="717" spans="1:9" x14ac:dyDescent="0.4">
      <c r="A717" s="55"/>
      <c r="D717" s="55"/>
      <c r="E717" s="55"/>
      <c r="F717" s="55"/>
      <c r="G717" s="55"/>
      <c r="H717" s="55"/>
      <c r="I717" s="55"/>
    </row>
    <row r="718" spans="1:9" x14ac:dyDescent="0.4">
      <c r="A718" s="55"/>
      <c r="D718" s="55"/>
      <c r="E718" s="55"/>
      <c r="F718" s="55"/>
      <c r="G718" s="55"/>
      <c r="H718" s="55"/>
      <c r="I718" s="55"/>
    </row>
    <row r="719" spans="1:9" x14ac:dyDescent="0.4">
      <c r="A719" s="55"/>
      <c r="D719" s="55"/>
      <c r="E719" s="55"/>
      <c r="F719" s="55"/>
      <c r="G719" s="55"/>
      <c r="H719" s="55"/>
      <c r="I719" s="55"/>
    </row>
    <row r="720" spans="1:9" x14ac:dyDescent="0.4">
      <c r="A720" s="55"/>
      <c r="D720" s="55"/>
      <c r="E720" s="55"/>
      <c r="F720" s="55"/>
      <c r="G720" s="55"/>
      <c r="H720" s="55"/>
      <c r="I720" s="55"/>
    </row>
    <row r="721" spans="1:9" x14ac:dyDescent="0.4">
      <c r="A721" s="55"/>
      <c r="D721" s="55"/>
      <c r="E721" s="55"/>
      <c r="F721" s="55"/>
      <c r="G721" s="55"/>
      <c r="H721" s="55"/>
      <c r="I721" s="55"/>
    </row>
    <row r="722" spans="1:9" x14ac:dyDescent="0.4">
      <c r="A722" s="55"/>
      <c r="D722" s="55"/>
      <c r="E722" s="55"/>
      <c r="F722" s="55"/>
      <c r="G722" s="55"/>
      <c r="H722" s="55"/>
      <c r="I722" s="55"/>
    </row>
    <row r="723" spans="1:9" x14ac:dyDescent="0.4">
      <c r="A723" s="55"/>
      <c r="D723" s="55"/>
      <c r="E723" s="55"/>
      <c r="F723" s="55"/>
      <c r="G723" s="55"/>
      <c r="H723" s="55"/>
      <c r="I723" s="55"/>
    </row>
    <row r="724" spans="1:9" x14ac:dyDescent="0.4">
      <c r="A724" s="55"/>
      <c r="D724" s="55"/>
      <c r="E724" s="55"/>
      <c r="F724" s="55"/>
      <c r="G724" s="55"/>
      <c r="H724" s="55"/>
      <c r="I724" s="55"/>
    </row>
    <row r="725" spans="1:9" x14ac:dyDescent="0.4">
      <c r="A725" s="55"/>
      <c r="D725" s="55"/>
      <c r="E725" s="55"/>
      <c r="F725" s="55"/>
      <c r="G725" s="55"/>
      <c r="H725" s="55"/>
      <c r="I725" s="55"/>
    </row>
    <row r="726" spans="1:9" x14ac:dyDescent="0.4">
      <c r="A726" s="55"/>
      <c r="D726" s="55"/>
      <c r="E726" s="55"/>
      <c r="F726" s="55"/>
      <c r="G726" s="55"/>
      <c r="H726" s="55"/>
      <c r="I726" s="55"/>
    </row>
    <row r="727" spans="1:9" x14ac:dyDescent="0.4">
      <c r="A727" s="55"/>
      <c r="D727" s="55"/>
      <c r="E727" s="55"/>
      <c r="F727" s="55"/>
      <c r="G727" s="55"/>
      <c r="H727" s="55"/>
      <c r="I727" s="55"/>
    </row>
    <row r="728" spans="1:9" x14ac:dyDescent="0.4">
      <c r="A728" s="55"/>
      <c r="D728" s="55"/>
      <c r="E728" s="55"/>
      <c r="F728" s="55"/>
      <c r="G728" s="55"/>
      <c r="H728" s="55"/>
      <c r="I728" s="55"/>
    </row>
    <row r="729" spans="1:9" x14ac:dyDescent="0.4">
      <c r="A729" s="55"/>
      <c r="D729" s="55"/>
      <c r="E729" s="55"/>
      <c r="F729" s="55"/>
      <c r="G729" s="55"/>
      <c r="H729" s="55"/>
      <c r="I729" s="55"/>
    </row>
    <row r="730" spans="1:9" x14ac:dyDescent="0.4">
      <c r="A730" s="55"/>
      <c r="D730" s="55"/>
      <c r="E730" s="55"/>
      <c r="F730" s="55"/>
      <c r="G730" s="55"/>
      <c r="H730" s="55"/>
      <c r="I730" s="55"/>
    </row>
    <row r="731" spans="1:9" x14ac:dyDescent="0.4">
      <c r="A731" s="55"/>
      <c r="D731" s="55"/>
      <c r="E731" s="55"/>
      <c r="F731" s="55"/>
      <c r="G731" s="55"/>
      <c r="H731" s="55"/>
      <c r="I731" s="55"/>
    </row>
    <row r="732" spans="1:9" x14ac:dyDescent="0.4">
      <c r="A732" s="55"/>
      <c r="D732" s="55"/>
      <c r="E732" s="55"/>
      <c r="F732" s="55"/>
      <c r="G732" s="55"/>
      <c r="H732" s="55"/>
      <c r="I732" s="55"/>
    </row>
    <row r="733" spans="1:9" x14ac:dyDescent="0.4">
      <c r="A733" s="55"/>
      <c r="D733" s="55"/>
      <c r="E733" s="55"/>
      <c r="F733" s="55"/>
      <c r="G733" s="55"/>
      <c r="H733" s="55"/>
      <c r="I733" s="55"/>
    </row>
    <row r="734" spans="1:9" x14ac:dyDescent="0.4">
      <c r="A734" s="55"/>
      <c r="D734" s="55"/>
      <c r="E734" s="55"/>
      <c r="F734" s="55"/>
      <c r="G734" s="55"/>
      <c r="H734" s="55"/>
      <c r="I734" s="55"/>
    </row>
    <row r="735" spans="1:9" x14ac:dyDescent="0.4">
      <c r="A735" s="55"/>
      <c r="D735" s="55"/>
      <c r="E735" s="55"/>
      <c r="F735" s="55"/>
      <c r="G735" s="55"/>
      <c r="H735" s="55"/>
      <c r="I735" s="55"/>
    </row>
    <row r="736" spans="1:9" x14ac:dyDescent="0.4">
      <c r="A736" s="55"/>
      <c r="D736" s="55"/>
      <c r="E736" s="55"/>
      <c r="F736" s="55"/>
      <c r="G736" s="55"/>
      <c r="H736" s="55"/>
      <c r="I736" s="55"/>
    </row>
    <row r="737" spans="1:9" x14ac:dyDescent="0.4">
      <c r="A737" s="55"/>
      <c r="D737" s="55"/>
      <c r="E737" s="55"/>
      <c r="F737" s="55"/>
      <c r="G737" s="55"/>
      <c r="H737" s="55"/>
      <c r="I737" s="55"/>
    </row>
    <row r="738" spans="1:9" x14ac:dyDescent="0.4">
      <c r="A738" s="55"/>
      <c r="D738" s="55"/>
      <c r="E738" s="55"/>
      <c r="F738" s="55"/>
      <c r="G738" s="55"/>
      <c r="H738" s="55"/>
      <c r="I738" s="55"/>
    </row>
    <row r="739" spans="1:9" x14ac:dyDescent="0.4">
      <c r="A739" s="55"/>
      <c r="D739" s="55"/>
      <c r="E739" s="55"/>
      <c r="F739" s="55"/>
      <c r="G739" s="55"/>
      <c r="H739" s="55"/>
      <c r="I739" s="55"/>
    </row>
    <row r="740" spans="1:9" x14ac:dyDescent="0.4">
      <c r="A740" s="55"/>
      <c r="D740" s="55"/>
      <c r="E740" s="55"/>
      <c r="F740" s="55"/>
      <c r="G740" s="55"/>
      <c r="H740" s="55"/>
      <c r="I740" s="55"/>
    </row>
    <row r="741" spans="1:9" x14ac:dyDescent="0.4">
      <c r="A741" s="55"/>
      <c r="D741" s="55"/>
      <c r="E741" s="55"/>
      <c r="F741" s="55"/>
      <c r="G741" s="55"/>
      <c r="H741" s="55"/>
      <c r="I741" s="55"/>
    </row>
    <row r="742" spans="1:9" x14ac:dyDescent="0.4">
      <c r="A742" s="55"/>
      <c r="D742" s="55"/>
      <c r="E742" s="55"/>
      <c r="F742" s="55"/>
      <c r="G742" s="55"/>
      <c r="H742" s="55"/>
      <c r="I742" s="55"/>
    </row>
    <row r="743" spans="1:9" x14ac:dyDescent="0.4">
      <c r="A743" s="55"/>
      <c r="D743" s="55"/>
      <c r="E743" s="55"/>
      <c r="F743" s="55"/>
      <c r="G743" s="55"/>
      <c r="H743" s="55"/>
      <c r="I743" s="55"/>
    </row>
    <row r="744" spans="1:9" x14ac:dyDescent="0.4">
      <c r="A744" s="55"/>
      <c r="D744" s="55"/>
      <c r="E744" s="55"/>
      <c r="F744" s="55"/>
      <c r="G744" s="55"/>
      <c r="H744" s="55"/>
      <c r="I744" s="55"/>
    </row>
    <row r="745" spans="1:9" x14ac:dyDescent="0.4">
      <c r="A745" s="55"/>
      <c r="D745" s="55"/>
      <c r="E745" s="55"/>
      <c r="F745" s="55"/>
      <c r="G745" s="55"/>
      <c r="H745" s="55"/>
      <c r="I745" s="55"/>
    </row>
    <row r="746" spans="1:9" x14ac:dyDescent="0.4">
      <c r="A746" s="55"/>
      <c r="D746" s="55"/>
      <c r="E746" s="55"/>
      <c r="F746" s="55"/>
      <c r="G746" s="55"/>
      <c r="H746" s="55"/>
      <c r="I746" s="55"/>
    </row>
    <row r="747" spans="1:9" x14ac:dyDescent="0.4">
      <c r="A747" s="55"/>
      <c r="D747" s="55"/>
      <c r="E747" s="55"/>
      <c r="F747" s="55"/>
      <c r="G747" s="55"/>
      <c r="H747" s="55"/>
      <c r="I747" s="55"/>
    </row>
    <row r="748" spans="1:9" x14ac:dyDescent="0.4">
      <c r="A748" s="55"/>
      <c r="D748" s="55"/>
      <c r="E748" s="55"/>
      <c r="F748" s="55"/>
      <c r="G748" s="55"/>
      <c r="H748" s="55"/>
      <c r="I748" s="55"/>
    </row>
    <row r="749" spans="1:9" x14ac:dyDescent="0.4">
      <c r="A749" s="55"/>
      <c r="D749" s="55"/>
      <c r="E749" s="55"/>
      <c r="F749" s="55"/>
      <c r="G749" s="55"/>
      <c r="H749" s="55"/>
      <c r="I749" s="55"/>
    </row>
    <row r="750" spans="1:9" x14ac:dyDescent="0.4">
      <c r="A750" s="55"/>
      <c r="D750" s="55"/>
      <c r="E750" s="55"/>
      <c r="F750" s="55"/>
      <c r="G750" s="55"/>
      <c r="H750" s="55"/>
      <c r="I750" s="55"/>
    </row>
    <row r="751" spans="1:9" x14ac:dyDescent="0.4">
      <c r="A751" s="55"/>
      <c r="D751" s="55"/>
      <c r="E751" s="55"/>
      <c r="F751" s="55"/>
      <c r="G751" s="55"/>
      <c r="H751" s="55"/>
      <c r="I751" s="55"/>
    </row>
    <row r="752" spans="1:9" x14ac:dyDescent="0.4">
      <c r="A752" s="55"/>
      <c r="D752" s="55"/>
      <c r="E752" s="55"/>
      <c r="F752" s="55"/>
      <c r="G752" s="55"/>
      <c r="H752" s="55"/>
      <c r="I752" s="55"/>
    </row>
    <row r="753" spans="1:9" x14ac:dyDescent="0.4">
      <c r="A753" s="55"/>
      <c r="D753" s="55"/>
      <c r="E753" s="55"/>
      <c r="F753" s="55"/>
      <c r="G753" s="55"/>
      <c r="H753" s="55"/>
      <c r="I753" s="55"/>
    </row>
    <row r="754" spans="1:9" x14ac:dyDescent="0.4">
      <c r="A754" s="55"/>
      <c r="D754" s="55"/>
      <c r="E754" s="55"/>
      <c r="F754" s="55"/>
      <c r="G754" s="55"/>
      <c r="H754" s="55"/>
      <c r="I754" s="55"/>
    </row>
    <row r="755" spans="1:9" x14ac:dyDescent="0.4">
      <c r="A755" s="55"/>
      <c r="D755" s="55"/>
      <c r="E755" s="55"/>
      <c r="F755" s="55"/>
      <c r="G755" s="55"/>
      <c r="H755" s="55"/>
      <c r="I755" s="55"/>
    </row>
    <row r="756" spans="1:9" x14ac:dyDescent="0.4">
      <c r="A756" s="55"/>
      <c r="D756" s="55"/>
      <c r="E756" s="55"/>
      <c r="F756" s="55"/>
      <c r="G756" s="55"/>
      <c r="H756" s="55"/>
      <c r="I756" s="55"/>
    </row>
    <row r="757" spans="1:9" x14ac:dyDescent="0.4">
      <c r="A757" s="55"/>
      <c r="D757" s="55"/>
      <c r="E757" s="55"/>
      <c r="F757" s="55"/>
      <c r="G757" s="55"/>
      <c r="H757" s="55"/>
      <c r="I757" s="55"/>
    </row>
    <row r="758" spans="1:9" x14ac:dyDescent="0.4">
      <c r="A758" s="55"/>
      <c r="D758" s="55"/>
      <c r="E758" s="55"/>
      <c r="F758" s="55"/>
      <c r="G758" s="55"/>
      <c r="H758" s="55"/>
      <c r="I758" s="55"/>
    </row>
    <row r="759" spans="1:9" x14ac:dyDescent="0.4">
      <c r="A759" s="55"/>
      <c r="D759" s="55"/>
      <c r="E759" s="55"/>
      <c r="F759" s="55"/>
      <c r="G759" s="55"/>
      <c r="H759" s="55"/>
      <c r="I759" s="55"/>
    </row>
    <row r="760" spans="1:9" x14ac:dyDescent="0.4">
      <c r="A760" s="55"/>
      <c r="D760" s="55"/>
      <c r="E760" s="55"/>
      <c r="F760" s="55"/>
      <c r="G760" s="55"/>
      <c r="H760" s="55"/>
      <c r="I760" s="55"/>
    </row>
    <row r="761" spans="1:9" x14ac:dyDescent="0.4">
      <c r="A761" s="55"/>
      <c r="D761" s="55"/>
      <c r="E761" s="55"/>
      <c r="F761" s="55"/>
      <c r="G761" s="55"/>
      <c r="H761" s="55"/>
      <c r="I761" s="55"/>
    </row>
    <row r="762" spans="1:9" x14ac:dyDescent="0.4">
      <c r="A762" s="55"/>
      <c r="D762" s="55"/>
      <c r="E762" s="55"/>
      <c r="F762" s="55"/>
      <c r="G762" s="55"/>
      <c r="H762" s="55"/>
      <c r="I762" s="55"/>
    </row>
    <row r="763" spans="1:9" x14ac:dyDescent="0.4">
      <c r="A763" s="55"/>
      <c r="D763" s="55"/>
      <c r="E763" s="55"/>
      <c r="F763" s="55"/>
      <c r="G763" s="55"/>
      <c r="H763" s="55"/>
      <c r="I763" s="55"/>
    </row>
    <row r="764" spans="1:9" x14ac:dyDescent="0.4">
      <c r="A764" s="55"/>
      <c r="D764" s="55"/>
      <c r="E764" s="55"/>
      <c r="F764" s="55"/>
      <c r="G764" s="55"/>
      <c r="H764" s="55"/>
      <c r="I764" s="55"/>
    </row>
    <row r="765" spans="1:9" x14ac:dyDescent="0.4">
      <c r="A765" s="55"/>
      <c r="D765" s="55"/>
      <c r="E765" s="55"/>
      <c r="F765" s="55"/>
      <c r="G765" s="55"/>
      <c r="H765" s="55"/>
      <c r="I765" s="55"/>
    </row>
    <row r="766" spans="1:9" x14ac:dyDescent="0.4">
      <c r="A766" s="55"/>
      <c r="D766" s="55"/>
      <c r="E766" s="55"/>
      <c r="F766" s="55"/>
      <c r="G766" s="55"/>
      <c r="H766" s="55"/>
      <c r="I766" s="55"/>
    </row>
    <row r="767" spans="1:9" x14ac:dyDescent="0.4">
      <c r="A767" s="55"/>
      <c r="D767" s="55"/>
      <c r="E767" s="55"/>
      <c r="F767" s="55"/>
      <c r="G767" s="55"/>
      <c r="H767" s="55"/>
      <c r="I767" s="55"/>
    </row>
    <row r="768" spans="1:9" x14ac:dyDescent="0.4">
      <c r="A768" s="55"/>
      <c r="D768" s="55"/>
      <c r="E768" s="55"/>
      <c r="F768" s="55"/>
      <c r="G768" s="55"/>
      <c r="H768" s="55"/>
      <c r="I768" s="55"/>
    </row>
    <row r="769" spans="1:9" x14ac:dyDescent="0.4">
      <c r="A769" s="55"/>
      <c r="D769" s="55"/>
      <c r="E769" s="55"/>
      <c r="F769" s="55"/>
      <c r="G769" s="55"/>
      <c r="H769" s="55"/>
      <c r="I769" s="55"/>
    </row>
    <row r="770" spans="1:9" x14ac:dyDescent="0.4">
      <c r="A770" s="55"/>
      <c r="D770" s="55"/>
      <c r="E770" s="55"/>
      <c r="F770" s="55"/>
      <c r="G770" s="55"/>
      <c r="H770" s="55"/>
      <c r="I770" s="55"/>
    </row>
    <row r="771" spans="1:9" x14ac:dyDescent="0.4">
      <c r="A771" s="55"/>
      <c r="D771" s="55"/>
      <c r="E771" s="55"/>
      <c r="F771" s="55"/>
      <c r="G771" s="55"/>
      <c r="H771" s="55"/>
      <c r="I771" s="55"/>
    </row>
    <row r="772" spans="1:9" x14ac:dyDescent="0.4">
      <c r="A772" s="55"/>
      <c r="D772" s="55"/>
      <c r="E772" s="55"/>
      <c r="F772" s="55"/>
      <c r="G772" s="55"/>
      <c r="H772" s="55"/>
      <c r="I772" s="55"/>
    </row>
    <row r="773" spans="1:9" x14ac:dyDescent="0.4">
      <c r="A773" s="55"/>
      <c r="D773" s="55"/>
      <c r="E773" s="55"/>
      <c r="F773" s="55"/>
      <c r="G773" s="55"/>
      <c r="H773" s="55"/>
      <c r="I773" s="55"/>
    </row>
    <row r="774" spans="1:9" x14ac:dyDescent="0.4">
      <c r="A774" s="55"/>
      <c r="D774" s="55"/>
      <c r="E774" s="55"/>
      <c r="F774" s="55"/>
      <c r="G774" s="55"/>
      <c r="H774" s="55"/>
      <c r="I774" s="55"/>
    </row>
    <row r="775" spans="1:9" x14ac:dyDescent="0.4">
      <c r="A775" s="55"/>
      <c r="D775" s="55"/>
      <c r="E775" s="55"/>
      <c r="F775" s="55"/>
      <c r="G775" s="55"/>
      <c r="H775" s="55"/>
      <c r="I775" s="55"/>
    </row>
    <row r="776" spans="1:9" x14ac:dyDescent="0.4">
      <c r="A776" s="55"/>
      <c r="D776" s="55"/>
      <c r="E776" s="55"/>
      <c r="F776" s="55"/>
      <c r="G776" s="55"/>
      <c r="H776" s="55"/>
      <c r="I776" s="55"/>
    </row>
    <row r="777" spans="1:9" x14ac:dyDescent="0.4">
      <c r="A777" s="55"/>
      <c r="D777" s="55"/>
      <c r="E777" s="55"/>
      <c r="F777" s="55"/>
      <c r="G777" s="55"/>
      <c r="H777" s="55"/>
      <c r="I777" s="55"/>
    </row>
    <row r="778" spans="1:9" x14ac:dyDescent="0.4">
      <c r="A778" s="55"/>
      <c r="D778" s="55"/>
      <c r="E778" s="55"/>
      <c r="F778" s="55"/>
      <c r="G778" s="55"/>
      <c r="H778" s="55"/>
      <c r="I778" s="55"/>
    </row>
    <row r="779" spans="1:9" x14ac:dyDescent="0.4">
      <c r="A779" s="55"/>
      <c r="D779" s="55"/>
      <c r="E779" s="55"/>
      <c r="F779" s="55"/>
      <c r="G779" s="55"/>
      <c r="H779" s="55"/>
      <c r="I779" s="55"/>
    </row>
    <row r="780" spans="1:9" x14ac:dyDescent="0.4">
      <c r="A780" s="55"/>
      <c r="D780" s="55"/>
      <c r="E780" s="55"/>
      <c r="F780" s="55"/>
      <c r="G780" s="55"/>
      <c r="H780" s="55"/>
      <c r="I780" s="55"/>
    </row>
    <row r="781" spans="1:9" x14ac:dyDescent="0.4">
      <c r="A781" s="55"/>
      <c r="D781" s="55"/>
      <c r="E781" s="55"/>
      <c r="F781" s="55"/>
      <c r="G781" s="55"/>
      <c r="H781" s="55"/>
      <c r="I781" s="55"/>
    </row>
    <row r="782" spans="1:9" x14ac:dyDescent="0.4">
      <c r="A782" s="55"/>
      <c r="D782" s="55"/>
      <c r="E782" s="55"/>
      <c r="F782" s="55"/>
      <c r="G782" s="55"/>
      <c r="H782" s="55"/>
      <c r="I782" s="55"/>
    </row>
    <row r="783" spans="1:9" x14ac:dyDescent="0.4">
      <c r="A783" s="55"/>
      <c r="D783" s="55"/>
      <c r="E783" s="55"/>
      <c r="F783" s="55"/>
      <c r="G783" s="55"/>
      <c r="H783" s="55"/>
      <c r="I783" s="55"/>
    </row>
    <row r="784" spans="1:9" x14ac:dyDescent="0.4">
      <c r="A784" s="55"/>
      <c r="D784" s="55"/>
      <c r="E784" s="55"/>
      <c r="F784" s="55"/>
      <c r="G784" s="55"/>
      <c r="H784" s="55"/>
      <c r="I784" s="55"/>
    </row>
    <row r="785" spans="1:9" x14ac:dyDescent="0.4">
      <c r="A785" s="55"/>
      <c r="D785" s="55"/>
      <c r="E785" s="55"/>
      <c r="F785" s="55"/>
      <c r="G785" s="55"/>
      <c r="H785" s="55"/>
      <c r="I785" s="55"/>
    </row>
    <row r="786" spans="1:9" x14ac:dyDescent="0.4">
      <c r="A786" s="55"/>
      <c r="D786" s="55"/>
      <c r="E786" s="55"/>
      <c r="F786" s="55"/>
      <c r="G786" s="55"/>
      <c r="H786" s="55"/>
      <c r="I786" s="55"/>
    </row>
    <row r="787" spans="1:9" x14ac:dyDescent="0.4">
      <c r="A787" s="55"/>
      <c r="D787" s="55"/>
      <c r="E787" s="55"/>
      <c r="F787" s="55"/>
      <c r="G787" s="55"/>
      <c r="H787" s="55"/>
      <c r="I787" s="55"/>
    </row>
    <row r="788" spans="1:9" x14ac:dyDescent="0.4">
      <c r="A788" s="55"/>
      <c r="D788" s="55"/>
      <c r="E788" s="55"/>
      <c r="F788" s="55"/>
      <c r="G788" s="55"/>
      <c r="H788" s="55"/>
      <c r="I788" s="55"/>
    </row>
    <row r="789" spans="1:9" x14ac:dyDescent="0.4">
      <c r="A789" s="55"/>
      <c r="D789" s="55"/>
      <c r="E789" s="55"/>
      <c r="F789" s="55"/>
      <c r="G789" s="55"/>
      <c r="H789" s="55"/>
      <c r="I789" s="55"/>
    </row>
    <row r="790" spans="1:9" x14ac:dyDescent="0.4">
      <c r="A790" s="55"/>
      <c r="D790" s="55"/>
      <c r="E790" s="55"/>
      <c r="F790" s="55"/>
      <c r="G790" s="55"/>
      <c r="H790" s="55"/>
      <c r="I790" s="55"/>
    </row>
    <row r="791" spans="1:9" x14ac:dyDescent="0.4">
      <c r="A791" s="55"/>
      <c r="D791" s="55"/>
      <c r="E791" s="55"/>
      <c r="F791" s="55"/>
      <c r="G791" s="55"/>
      <c r="H791" s="55"/>
      <c r="I791" s="55"/>
    </row>
    <row r="792" spans="1:9" x14ac:dyDescent="0.4">
      <c r="A792" s="55"/>
      <c r="D792" s="55"/>
      <c r="E792" s="55"/>
      <c r="F792" s="55"/>
      <c r="G792" s="55"/>
      <c r="H792" s="55"/>
      <c r="I792" s="55"/>
    </row>
    <row r="793" spans="1:9" x14ac:dyDescent="0.4">
      <c r="A793" s="55"/>
      <c r="D793" s="55"/>
      <c r="E793" s="55"/>
      <c r="F793" s="55"/>
      <c r="G793" s="55"/>
      <c r="H793" s="55"/>
      <c r="I793" s="55"/>
    </row>
    <row r="794" spans="1:9" x14ac:dyDescent="0.4">
      <c r="A794" s="55"/>
      <c r="D794" s="55"/>
      <c r="E794" s="55"/>
      <c r="F794" s="55"/>
      <c r="G794" s="55"/>
      <c r="H794" s="55"/>
      <c r="I794" s="55"/>
    </row>
    <row r="795" spans="1:9" x14ac:dyDescent="0.4">
      <c r="A795" s="55"/>
      <c r="D795" s="55"/>
      <c r="E795" s="55"/>
      <c r="F795" s="55"/>
      <c r="G795" s="55"/>
      <c r="H795" s="55"/>
      <c r="I795" s="55"/>
    </row>
    <row r="796" spans="1:9" x14ac:dyDescent="0.4">
      <c r="A796" s="55"/>
      <c r="D796" s="55"/>
      <c r="E796" s="55"/>
      <c r="F796" s="55"/>
      <c r="G796" s="55"/>
      <c r="H796" s="55"/>
      <c r="I796" s="55"/>
    </row>
    <row r="797" spans="1:9" x14ac:dyDescent="0.4">
      <c r="A797" s="55"/>
      <c r="D797" s="55"/>
      <c r="E797" s="55"/>
      <c r="F797" s="55"/>
      <c r="G797" s="55"/>
      <c r="H797" s="55"/>
      <c r="I797" s="55"/>
    </row>
    <row r="798" spans="1:9" x14ac:dyDescent="0.4">
      <c r="A798" s="55"/>
      <c r="D798" s="55"/>
      <c r="E798" s="55"/>
      <c r="F798" s="55"/>
      <c r="G798" s="55"/>
      <c r="H798" s="55"/>
      <c r="I798" s="55"/>
    </row>
    <row r="799" spans="1:9" x14ac:dyDescent="0.4">
      <c r="A799" s="55"/>
      <c r="D799" s="55"/>
      <c r="E799" s="55"/>
      <c r="F799" s="55"/>
      <c r="G799" s="55"/>
      <c r="H799" s="55"/>
      <c r="I799" s="55"/>
    </row>
    <row r="800" spans="1:9" x14ac:dyDescent="0.4">
      <c r="A800" s="55"/>
      <c r="D800" s="55"/>
      <c r="E800" s="55"/>
      <c r="F800" s="55"/>
      <c r="G800" s="55"/>
      <c r="H800" s="55"/>
      <c r="I800" s="55"/>
    </row>
    <row r="801" spans="1:9" x14ac:dyDescent="0.4">
      <c r="A801" s="55"/>
      <c r="D801" s="55"/>
      <c r="E801" s="55"/>
      <c r="F801" s="55"/>
      <c r="G801" s="55"/>
      <c r="H801" s="55"/>
      <c r="I801" s="55"/>
    </row>
    <row r="802" spans="1:9" x14ac:dyDescent="0.4">
      <c r="A802" s="55"/>
      <c r="D802" s="55"/>
      <c r="E802" s="55"/>
      <c r="F802" s="55"/>
      <c r="G802" s="55"/>
      <c r="H802" s="55"/>
      <c r="I802" s="55"/>
    </row>
    <row r="803" spans="1:9" x14ac:dyDescent="0.4">
      <c r="A803" s="55"/>
      <c r="D803" s="55"/>
      <c r="E803" s="55"/>
      <c r="F803" s="55"/>
      <c r="G803" s="55"/>
      <c r="H803" s="55"/>
      <c r="I803" s="55"/>
    </row>
    <row r="804" spans="1:9" x14ac:dyDescent="0.4">
      <c r="A804" s="55"/>
      <c r="D804" s="55"/>
      <c r="E804" s="55"/>
      <c r="F804" s="55"/>
      <c r="G804" s="55"/>
      <c r="H804" s="55"/>
      <c r="I804" s="55"/>
    </row>
    <row r="805" spans="1:9" x14ac:dyDescent="0.4">
      <c r="A805" s="55"/>
      <c r="D805" s="55"/>
      <c r="E805" s="55"/>
      <c r="F805" s="55"/>
      <c r="G805" s="55"/>
      <c r="H805" s="55"/>
      <c r="I805" s="55"/>
    </row>
    <row r="806" spans="1:9" x14ac:dyDescent="0.4">
      <c r="A806" s="55"/>
      <c r="D806" s="55"/>
      <c r="E806" s="55"/>
      <c r="F806" s="55"/>
      <c r="G806" s="55"/>
      <c r="H806" s="55"/>
      <c r="I806" s="55"/>
    </row>
    <row r="807" spans="1:9" x14ac:dyDescent="0.4">
      <c r="A807" s="55"/>
      <c r="D807" s="55"/>
      <c r="E807" s="55"/>
      <c r="F807" s="55"/>
      <c r="G807" s="55"/>
      <c r="H807" s="55"/>
      <c r="I807" s="55"/>
    </row>
    <row r="808" spans="1:9" x14ac:dyDescent="0.4">
      <c r="A808" s="55"/>
      <c r="D808" s="55"/>
      <c r="E808" s="55"/>
      <c r="F808" s="55"/>
      <c r="G808" s="55"/>
      <c r="H808" s="55"/>
      <c r="I808" s="55"/>
    </row>
    <row r="809" spans="1:9" x14ac:dyDescent="0.4">
      <c r="A809" s="55"/>
      <c r="D809" s="55"/>
      <c r="E809" s="55"/>
      <c r="F809" s="55"/>
      <c r="G809" s="55"/>
      <c r="H809" s="55"/>
      <c r="I809" s="55"/>
    </row>
    <row r="810" spans="1:9" x14ac:dyDescent="0.4">
      <c r="A810" s="55"/>
      <c r="D810" s="55"/>
      <c r="E810" s="55"/>
      <c r="F810" s="55"/>
      <c r="G810" s="55"/>
      <c r="H810" s="55"/>
      <c r="I810" s="55"/>
    </row>
    <row r="811" spans="1:9" x14ac:dyDescent="0.4">
      <c r="A811" s="55"/>
      <c r="D811" s="55"/>
      <c r="E811" s="55"/>
      <c r="F811" s="55"/>
      <c r="G811" s="55"/>
      <c r="H811" s="55"/>
      <c r="I811" s="55"/>
    </row>
    <row r="812" spans="1:9" x14ac:dyDescent="0.4">
      <c r="A812" s="55"/>
      <c r="D812" s="55"/>
      <c r="E812" s="55"/>
      <c r="F812" s="55"/>
      <c r="G812" s="55"/>
      <c r="H812" s="55"/>
      <c r="I812" s="55"/>
    </row>
    <row r="813" spans="1:9" x14ac:dyDescent="0.4">
      <c r="A813" s="55"/>
      <c r="D813" s="55"/>
      <c r="E813" s="55"/>
      <c r="F813" s="55"/>
      <c r="G813" s="55"/>
      <c r="H813" s="55"/>
      <c r="I813" s="55"/>
    </row>
    <row r="814" spans="1:9" x14ac:dyDescent="0.4">
      <c r="A814" s="55"/>
      <c r="D814" s="55"/>
      <c r="E814" s="55"/>
      <c r="F814" s="55"/>
      <c r="G814" s="55"/>
      <c r="H814" s="55"/>
      <c r="I814" s="55"/>
    </row>
    <row r="815" spans="1:9" x14ac:dyDescent="0.4">
      <c r="A815" s="55"/>
      <c r="D815" s="55"/>
      <c r="E815" s="55"/>
      <c r="F815" s="55"/>
      <c r="G815" s="55"/>
      <c r="H815" s="55"/>
      <c r="I815" s="55"/>
    </row>
    <row r="816" spans="1:9" x14ac:dyDescent="0.4">
      <c r="A816" s="55"/>
      <c r="D816" s="55"/>
      <c r="E816" s="55"/>
      <c r="F816" s="55"/>
      <c r="G816" s="55"/>
      <c r="H816" s="55"/>
      <c r="I816" s="55"/>
    </row>
    <row r="817" spans="1:9" x14ac:dyDescent="0.4">
      <c r="A817" s="55"/>
      <c r="D817" s="55"/>
      <c r="E817" s="55"/>
      <c r="F817" s="55"/>
      <c r="G817" s="55"/>
      <c r="H817" s="55"/>
      <c r="I817" s="55"/>
    </row>
    <row r="818" spans="1:9" x14ac:dyDescent="0.4">
      <c r="A818" s="55"/>
      <c r="D818" s="55"/>
      <c r="E818" s="55"/>
      <c r="F818" s="55"/>
      <c r="G818" s="55"/>
      <c r="H818" s="55"/>
      <c r="I818" s="55"/>
    </row>
    <row r="819" spans="1:9" x14ac:dyDescent="0.4">
      <c r="A819" s="55"/>
      <c r="D819" s="55"/>
      <c r="E819" s="55"/>
      <c r="F819" s="55"/>
      <c r="G819" s="55"/>
      <c r="H819" s="55"/>
      <c r="I819" s="55"/>
    </row>
    <row r="820" spans="1:9" x14ac:dyDescent="0.4">
      <c r="A820" s="55"/>
      <c r="D820" s="55"/>
      <c r="E820" s="55"/>
      <c r="F820" s="55"/>
      <c r="G820" s="55"/>
      <c r="H820" s="55"/>
      <c r="I820" s="55"/>
    </row>
    <row r="821" spans="1:9" x14ac:dyDescent="0.4">
      <c r="A821" s="55"/>
      <c r="D821" s="55"/>
      <c r="E821" s="55"/>
      <c r="F821" s="55"/>
      <c r="G821" s="55"/>
      <c r="H821" s="55"/>
      <c r="I821" s="55"/>
    </row>
    <row r="822" spans="1:9" x14ac:dyDescent="0.4">
      <c r="A822" s="55"/>
      <c r="D822" s="55"/>
      <c r="E822" s="55"/>
      <c r="F822" s="55"/>
      <c r="G822" s="55"/>
      <c r="H822" s="55"/>
      <c r="I822" s="55"/>
    </row>
    <row r="823" spans="1:9" x14ac:dyDescent="0.4">
      <c r="A823" s="55"/>
      <c r="D823" s="55"/>
      <c r="E823" s="55"/>
      <c r="F823" s="55"/>
      <c r="G823" s="55"/>
      <c r="H823" s="55"/>
      <c r="I823" s="55"/>
    </row>
    <row r="824" spans="1:9" x14ac:dyDescent="0.4">
      <c r="A824" s="55"/>
      <c r="D824" s="55"/>
      <c r="E824" s="55"/>
      <c r="F824" s="55"/>
      <c r="G824" s="55"/>
      <c r="H824" s="55"/>
      <c r="I824" s="55"/>
    </row>
    <row r="825" spans="1:9" x14ac:dyDescent="0.4">
      <c r="A825" s="55"/>
      <c r="D825" s="55"/>
      <c r="E825" s="55"/>
      <c r="F825" s="55"/>
      <c r="G825" s="55"/>
      <c r="H825" s="55"/>
      <c r="I825" s="55"/>
    </row>
    <row r="826" spans="1:9" x14ac:dyDescent="0.4">
      <c r="A826" s="55"/>
      <c r="D826" s="55"/>
      <c r="E826" s="55"/>
      <c r="F826" s="55"/>
      <c r="G826" s="55"/>
      <c r="H826" s="55"/>
      <c r="I826" s="55"/>
    </row>
    <row r="827" spans="1:9" x14ac:dyDescent="0.4">
      <c r="A827" s="55"/>
      <c r="D827" s="55"/>
      <c r="E827" s="55"/>
      <c r="F827" s="55"/>
      <c r="G827" s="55"/>
      <c r="H827" s="55"/>
      <c r="I827" s="55"/>
    </row>
    <row r="828" spans="1:9" x14ac:dyDescent="0.4">
      <c r="A828" s="55"/>
      <c r="D828" s="55"/>
      <c r="E828" s="55"/>
      <c r="F828" s="55"/>
      <c r="G828" s="55"/>
      <c r="H828" s="55"/>
      <c r="I828" s="55"/>
    </row>
    <row r="829" spans="1:9" x14ac:dyDescent="0.4">
      <c r="A829" s="55"/>
      <c r="D829" s="55"/>
      <c r="E829" s="55"/>
      <c r="F829" s="55"/>
      <c r="G829" s="55"/>
      <c r="H829" s="55"/>
      <c r="I829" s="55"/>
    </row>
    <row r="830" spans="1:9" x14ac:dyDescent="0.4">
      <c r="A830" s="55"/>
      <c r="D830" s="55"/>
      <c r="E830" s="55"/>
      <c r="F830" s="55"/>
      <c r="G830" s="55"/>
      <c r="H830" s="55"/>
      <c r="I830" s="55"/>
    </row>
    <row r="831" spans="1:9" x14ac:dyDescent="0.4">
      <c r="A831" s="55"/>
      <c r="D831" s="55"/>
      <c r="E831" s="55"/>
      <c r="F831" s="55"/>
      <c r="G831" s="55"/>
      <c r="H831" s="55"/>
      <c r="I831" s="55"/>
    </row>
    <row r="832" spans="1:9" x14ac:dyDescent="0.4">
      <c r="A832" s="55"/>
      <c r="D832" s="55"/>
      <c r="E832" s="55"/>
      <c r="F832" s="55"/>
      <c r="G832" s="55"/>
      <c r="H832" s="55"/>
      <c r="I832" s="55"/>
    </row>
    <row r="833" spans="1:9" x14ac:dyDescent="0.4">
      <c r="A833" s="55"/>
      <c r="D833" s="55"/>
      <c r="E833" s="55"/>
      <c r="F833" s="55"/>
      <c r="G833" s="55"/>
      <c r="H833" s="55"/>
      <c r="I833" s="55"/>
    </row>
    <row r="834" spans="1:9" x14ac:dyDescent="0.4">
      <c r="A834" s="55"/>
      <c r="D834" s="55"/>
      <c r="E834" s="55"/>
      <c r="F834" s="55"/>
      <c r="G834" s="55"/>
      <c r="H834" s="55"/>
      <c r="I834" s="55"/>
    </row>
    <row r="835" spans="1:9" x14ac:dyDescent="0.4">
      <c r="A835" s="55"/>
      <c r="D835" s="55"/>
      <c r="E835" s="55"/>
      <c r="F835" s="55"/>
      <c r="G835" s="55"/>
      <c r="H835" s="55"/>
      <c r="I835" s="55"/>
    </row>
    <row r="836" spans="1:9" x14ac:dyDescent="0.4">
      <c r="A836" s="55"/>
      <c r="D836" s="55"/>
      <c r="E836" s="55"/>
      <c r="F836" s="55"/>
      <c r="G836" s="55"/>
      <c r="H836" s="55"/>
      <c r="I836" s="55"/>
    </row>
    <row r="837" spans="1:9" x14ac:dyDescent="0.4">
      <c r="A837" s="55"/>
      <c r="D837" s="55"/>
      <c r="E837" s="55"/>
      <c r="F837" s="55"/>
      <c r="G837" s="55"/>
      <c r="H837" s="55"/>
      <c r="I837" s="55"/>
    </row>
    <row r="838" spans="1:9" x14ac:dyDescent="0.4">
      <c r="A838" s="55"/>
      <c r="D838" s="55"/>
      <c r="E838" s="55"/>
      <c r="F838" s="55"/>
      <c r="G838" s="55"/>
      <c r="H838" s="55"/>
      <c r="I838" s="55"/>
    </row>
    <row r="839" spans="1:9" x14ac:dyDescent="0.4">
      <c r="A839" s="55"/>
      <c r="D839" s="55"/>
      <c r="E839" s="55"/>
      <c r="F839" s="55"/>
      <c r="G839" s="55"/>
      <c r="H839" s="55"/>
      <c r="I839" s="55"/>
    </row>
    <row r="840" spans="1:9" x14ac:dyDescent="0.4">
      <c r="A840" s="55"/>
      <c r="D840" s="55"/>
      <c r="E840" s="55"/>
      <c r="F840" s="55"/>
      <c r="G840" s="55"/>
      <c r="H840" s="55"/>
      <c r="I840" s="55"/>
    </row>
    <row r="841" spans="1:9" x14ac:dyDescent="0.4">
      <c r="A841" s="55"/>
      <c r="D841" s="55"/>
      <c r="E841" s="55"/>
      <c r="F841" s="55"/>
      <c r="G841" s="55"/>
      <c r="H841" s="55"/>
      <c r="I841" s="55"/>
    </row>
    <row r="842" spans="1:9" x14ac:dyDescent="0.4">
      <c r="A842" s="55"/>
      <c r="D842" s="55"/>
      <c r="E842" s="55"/>
      <c r="F842" s="55"/>
      <c r="G842" s="55"/>
      <c r="H842" s="55"/>
      <c r="I842" s="55"/>
    </row>
    <row r="843" spans="1:9" x14ac:dyDescent="0.4">
      <c r="A843" s="55"/>
      <c r="D843" s="55"/>
      <c r="E843" s="55"/>
      <c r="F843" s="55"/>
      <c r="G843" s="55"/>
      <c r="H843" s="55"/>
      <c r="I843" s="55"/>
    </row>
    <row r="844" spans="1:9" x14ac:dyDescent="0.4">
      <c r="A844" s="55"/>
      <c r="D844" s="55"/>
      <c r="E844" s="55"/>
      <c r="F844" s="55"/>
      <c r="G844" s="55"/>
      <c r="H844" s="55"/>
      <c r="I844" s="55"/>
    </row>
    <row r="845" spans="1:9" x14ac:dyDescent="0.4">
      <c r="A845" s="55"/>
      <c r="D845" s="55"/>
      <c r="E845" s="55"/>
      <c r="F845" s="55"/>
      <c r="G845" s="55"/>
      <c r="H845" s="55"/>
      <c r="I845" s="55"/>
    </row>
    <row r="846" spans="1:9" x14ac:dyDescent="0.4">
      <c r="A846" s="55"/>
      <c r="D846" s="55"/>
      <c r="E846" s="55"/>
      <c r="F846" s="55"/>
      <c r="G846" s="55"/>
      <c r="H846" s="55"/>
      <c r="I846" s="55"/>
    </row>
    <row r="847" spans="1:9" x14ac:dyDescent="0.4">
      <c r="A847" s="55"/>
      <c r="D847" s="55"/>
      <c r="E847" s="55"/>
      <c r="F847" s="55"/>
      <c r="G847" s="55"/>
      <c r="H847" s="55"/>
      <c r="I847" s="55"/>
    </row>
    <row r="848" spans="1:9" x14ac:dyDescent="0.4">
      <c r="A848" s="55"/>
      <c r="D848" s="55"/>
      <c r="E848" s="55"/>
      <c r="F848" s="55"/>
      <c r="G848" s="55"/>
      <c r="H848" s="55"/>
      <c r="I848" s="55"/>
    </row>
    <row r="849" spans="1:9" x14ac:dyDescent="0.4">
      <c r="A849" s="55"/>
      <c r="D849" s="55"/>
      <c r="E849" s="55"/>
      <c r="F849" s="55"/>
      <c r="G849" s="55"/>
      <c r="H849" s="55"/>
      <c r="I849" s="55"/>
    </row>
    <row r="850" spans="1:9" x14ac:dyDescent="0.4">
      <c r="A850" s="55"/>
      <c r="D850" s="55"/>
      <c r="E850" s="55"/>
      <c r="F850" s="55"/>
      <c r="G850" s="55"/>
      <c r="H850" s="55"/>
      <c r="I850" s="55"/>
    </row>
    <row r="851" spans="1:9" x14ac:dyDescent="0.4">
      <c r="A851" s="55"/>
      <c r="D851" s="55"/>
      <c r="E851" s="55"/>
      <c r="F851" s="55"/>
      <c r="G851" s="55"/>
      <c r="H851" s="55"/>
      <c r="I851" s="55"/>
    </row>
    <row r="852" spans="1:9" x14ac:dyDescent="0.4">
      <c r="A852" s="55"/>
      <c r="D852" s="55"/>
      <c r="E852" s="55"/>
      <c r="F852" s="55"/>
      <c r="G852" s="55"/>
      <c r="H852" s="55"/>
      <c r="I852" s="55"/>
    </row>
    <row r="853" spans="1:9" x14ac:dyDescent="0.4">
      <c r="A853" s="55"/>
      <c r="D853" s="55"/>
      <c r="E853" s="55"/>
      <c r="F853" s="55"/>
      <c r="G853" s="55"/>
      <c r="H853" s="55"/>
      <c r="I853" s="55"/>
    </row>
    <row r="854" spans="1:9" x14ac:dyDescent="0.4">
      <c r="A854" s="55"/>
      <c r="D854" s="55"/>
      <c r="E854" s="55"/>
      <c r="F854" s="55"/>
      <c r="G854" s="55"/>
      <c r="H854" s="55"/>
      <c r="I854" s="55"/>
    </row>
    <row r="855" spans="1:9" x14ac:dyDescent="0.4">
      <c r="A855" s="55"/>
      <c r="D855" s="55"/>
      <c r="E855" s="55"/>
      <c r="F855" s="55"/>
      <c r="G855" s="55"/>
      <c r="H855" s="55"/>
      <c r="I855" s="55"/>
    </row>
    <row r="856" spans="1:9" x14ac:dyDescent="0.4">
      <c r="A856" s="55"/>
      <c r="D856" s="55"/>
      <c r="E856" s="55"/>
      <c r="F856" s="55"/>
      <c r="G856" s="55"/>
      <c r="H856" s="55"/>
      <c r="I856" s="55"/>
    </row>
    <row r="857" spans="1:9" x14ac:dyDescent="0.4">
      <c r="A857" s="55"/>
      <c r="D857" s="55"/>
      <c r="E857" s="55"/>
      <c r="F857" s="55"/>
      <c r="G857" s="55"/>
      <c r="H857" s="55"/>
      <c r="I857" s="55"/>
    </row>
    <row r="858" spans="1:9" x14ac:dyDescent="0.4">
      <c r="A858" s="55"/>
      <c r="D858" s="55"/>
      <c r="E858" s="55"/>
      <c r="F858" s="55"/>
      <c r="G858" s="55"/>
      <c r="H858" s="55"/>
      <c r="I858" s="55"/>
    </row>
    <row r="859" spans="1:9" x14ac:dyDescent="0.4">
      <c r="A859" s="55"/>
      <c r="D859" s="55"/>
      <c r="E859" s="55"/>
      <c r="F859" s="55"/>
      <c r="G859" s="55"/>
      <c r="H859" s="55"/>
      <c r="I859" s="55"/>
    </row>
    <row r="860" spans="1:9" x14ac:dyDescent="0.4">
      <c r="A860" s="55"/>
      <c r="D860" s="55"/>
      <c r="E860" s="55"/>
      <c r="F860" s="55"/>
      <c r="G860" s="55"/>
      <c r="H860" s="55"/>
      <c r="I860" s="55"/>
    </row>
    <row r="861" spans="1:9" x14ac:dyDescent="0.4">
      <c r="A861" s="55"/>
      <c r="D861" s="55"/>
      <c r="E861" s="55"/>
      <c r="F861" s="55"/>
      <c r="G861" s="55"/>
      <c r="H861" s="55"/>
      <c r="I861" s="55"/>
    </row>
    <row r="862" spans="1:9" x14ac:dyDescent="0.4">
      <c r="A862" s="55"/>
      <c r="D862" s="55"/>
      <c r="E862" s="55"/>
      <c r="F862" s="55"/>
      <c r="G862" s="55"/>
      <c r="H862" s="55"/>
      <c r="I862" s="55"/>
    </row>
    <row r="863" spans="1:9" x14ac:dyDescent="0.4">
      <c r="A863" s="55"/>
      <c r="D863" s="55"/>
      <c r="E863" s="55"/>
      <c r="F863" s="55"/>
      <c r="G863" s="55"/>
      <c r="H863" s="55"/>
      <c r="I863" s="55"/>
    </row>
    <row r="864" spans="1:9" x14ac:dyDescent="0.4">
      <c r="A864" s="55"/>
      <c r="D864" s="55"/>
      <c r="E864" s="55"/>
      <c r="F864" s="55"/>
      <c r="G864" s="55"/>
      <c r="H864" s="55"/>
      <c r="I864" s="55"/>
    </row>
    <row r="865" spans="1:9" x14ac:dyDescent="0.4">
      <c r="A865" s="55"/>
      <c r="D865" s="55"/>
      <c r="E865" s="55"/>
      <c r="F865" s="55"/>
      <c r="G865" s="55"/>
      <c r="H865" s="55"/>
      <c r="I865" s="55"/>
    </row>
    <row r="866" spans="1:9" x14ac:dyDescent="0.4">
      <c r="A866" s="55"/>
      <c r="D866" s="55"/>
      <c r="E866" s="55"/>
      <c r="F866" s="55"/>
      <c r="G866" s="55"/>
      <c r="H866" s="55"/>
      <c r="I866" s="55"/>
    </row>
    <row r="867" spans="1:9" x14ac:dyDescent="0.4">
      <c r="A867" s="55"/>
      <c r="D867" s="55"/>
      <c r="E867" s="55"/>
      <c r="F867" s="55"/>
      <c r="G867" s="55"/>
      <c r="H867" s="55"/>
      <c r="I867" s="55"/>
    </row>
    <row r="868" spans="1:9" x14ac:dyDescent="0.4">
      <c r="A868" s="55"/>
      <c r="D868" s="55"/>
      <c r="E868" s="55"/>
      <c r="F868" s="55"/>
      <c r="G868" s="55"/>
      <c r="H868" s="55"/>
      <c r="I868" s="55"/>
    </row>
    <row r="869" spans="1:9" x14ac:dyDescent="0.4">
      <c r="A869" s="55"/>
      <c r="D869" s="55"/>
      <c r="E869" s="55"/>
      <c r="F869" s="55"/>
      <c r="G869" s="55"/>
      <c r="H869" s="55"/>
      <c r="I869" s="55"/>
    </row>
    <row r="870" spans="1:9" x14ac:dyDescent="0.4">
      <c r="A870" s="55"/>
      <c r="D870" s="55"/>
      <c r="E870" s="55"/>
      <c r="F870" s="55"/>
      <c r="G870" s="55"/>
      <c r="H870" s="55"/>
      <c r="I870" s="55"/>
    </row>
    <row r="871" spans="1:9" x14ac:dyDescent="0.4">
      <c r="A871" s="55"/>
      <c r="D871" s="55"/>
      <c r="E871" s="55"/>
      <c r="F871" s="55"/>
      <c r="G871" s="55"/>
      <c r="H871" s="55"/>
      <c r="I871" s="55"/>
    </row>
    <row r="872" spans="1:9" x14ac:dyDescent="0.4">
      <c r="A872" s="55"/>
      <c r="D872" s="55"/>
      <c r="E872" s="55"/>
      <c r="F872" s="55"/>
      <c r="G872" s="55"/>
      <c r="H872" s="55"/>
      <c r="I872" s="55"/>
    </row>
    <row r="873" spans="1:9" x14ac:dyDescent="0.4">
      <c r="A873" s="55"/>
      <c r="D873" s="55"/>
      <c r="E873" s="55"/>
      <c r="F873" s="55"/>
      <c r="G873" s="55"/>
      <c r="H873" s="55"/>
      <c r="I873" s="55"/>
    </row>
    <row r="874" spans="1:9" x14ac:dyDescent="0.4">
      <c r="A874" s="55"/>
      <c r="D874" s="55"/>
      <c r="E874" s="55"/>
      <c r="F874" s="55"/>
      <c r="G874" s="55"/>
      <c r="H874" s="55"/>
      <c r="I874" s="55"/>
    </row>
    <row r="875" spans="1:9" x14ac:dyDescent="0.4">
      <c r="A875" s="55"/>
      <c r="D875" s="55"/>
      <c r="E875" s="55"/>
      <c r="F875" s="55"/>
      <c r="G875" s="55"/>
      <c r="H875" s="55"/>
      <c r="I875" s="55"/>
    </row>
    <row r="876" spans="1:9" x14ac:dyDescent="0.4">
      <c r="A876" s="55"/>
      <c r="D876" s="55"/>
      <c r="E876" s="55"/>
      <c r="F876" s="55"/>
      <c r="G876" s="55"/>
      <c r="H876" s="55"/>
      <c r="I876" s="55"/>
    </row>
    <row r="877" spans="1:9" x14ac:dyDescent="0.4">
      <c r="A877" s="55"/>
      <c r="D877" s="55"/>
      <c r="E877" s="55"/>
      <c r="F877" s="55"/>
      <c r="G877" s="55"/>
      <c r="H877" s="55"/>
      <c r="I877" s="55"/>
    </row>
    <row r="878" spans="1:9" x14ac:dyDescent="0.4">
      <c r="A878" s="55"/>
      <c r="D878" s="55"/>
      <c r="E878" s="55"/>
      <c r="F878" s="55"/>
      <c r="G878" s="55"/>
      <c r="H878" s="55"/>
      <c r="I878" s="55"/>
    </row>
    <row r="879" spans="1:9" x14ac:dyDescent="0.4">
      <c r="A879" s="55"/>
      <c r="D879" s="55"/>
      <c r="E879" s="55"/>
      <c r="F879" s="55"/>
      <c r="G879" s="55"/>
      <c r="H879" s="55"/>
      <c r="I879" s="55"/>
    </row>
    <row r="880" spans="1:9" x14ac:dyDescent="0.4">
      <c r="A880" s="55"/>
      <c r="D880" s="55"/>
      <c r="E880" s="55"/>
      <c r="F880" s="55"/>
      <c r="G880" s="55"/>
      <c r="H880" s="55"/>
      <c r="I880" s="55"/>
    </row>
    <row r="881" spans="1:9" x14ac:dyDescent="0.4">
      <c r="A881" s="55"/>
      <c r="D881" s="55"/>
      <c r="E881" s="55"/>
      <c r="F881" s="55"/>
      <c r="G881" s="55"/>
      <c r="H881" s="55"/>
      <c r="I881" s="55"/>
    </row>
    <row r="882" spans="1:9" x14ac:dyDescent="0.4">
      <c r="A882" s="55"/>
      <c r="D882" s="55"/>
      <c r="E882" s="55"/>
      <c r="F882" s="55"/>
      <c r="G882" s="55"/>
      <c r="H882" s="55"/>
      <c r="I882" s="55"/>
    </row>
    <row r="883" spans="1:9" x14ac:dyDescent="0.4">
      <c r="A883" s="55"/>
      <c r="D883" s="55"/>
      <c r="E883" s="55"/>
      <c r="F883" s="55"/>
      <c r="G883" s="55"/>
      <c r="H883" s="55"/>
      <c r="I883" s="55"/>
    </row>
    <row r="884" spans="1:9" x14ac:dyDescent="0.4">
      <c r="A884" s="55"/>
      <c r="D884" s="55"/>
      <c r="E884" s="55"/>
      <c r="F884" s="55"/>
      <c r="G884" s="55"/>
      <c r="H884" s="55"/>
      <c r="I884" s="55"/>
    </row>
    <row r="885" spans="1:9" x14ac:dyDescent="0.4">
      <c r="A885" s="55"/>
      <c r="D885" s="55"/>
      <c r="E885" s="55"/>
      <c r="F885" s="55"/>
      <c r="G885" s="55"/>
      <c r="H885" s="55"/>
      <c r="I885" s="55"/>
    </row>
    <row r="886" spans="1:9" x14ac:dyDescent="0.4">
      <c r="A886" s="55"/>
      <c r="D886" s="55"/>
      <c r="E886" s="55"/>
      <c r="F886" s="55"/>
      <c r="G886" s="55"/>
      <c r="H886" s="55"/>
      <c r="I886" s="55"/>
    </row>
    <row r="887" spans="1:9" x14ac:dyDescent="0.4">
      <c r="A887" s="55"/>
      <c r="D887" s="55"/>
      <c r="E887" s="55"/>
      <c r="F887" s="55"/>
      <c r="G887" s="55"/>
      <c r="H887" s="55"/>
      <c r="I887" s="55"/>
    </row>
    <row r="888" spans="1:9" x14ac:dyDescent="0.4">
      <c r="A888" s="55"/>
      <c r="D888" s="55"/>
      <c r="E888" s="55"/>
      <c r="F888" s="55"/>
      <c r="G888" s="55"/>
      <c r="H888" s="55"/>
      <c r="I888" s="55"/>
    </row>
    <row r="889" spans="1:9" x14ac:dyDescent="0.4">
      <c r="A889" s="55"/>
      <c r="D889" s="55"/>
      <c r="E889" s="55"/>
      <c r="F889" s="55"/>
      <c r="G889" s="55"/>
      <c r="H889" s="55"/>
      <c r="I889" s="55"/>
    </row>
    <row r="890" spans="1:9" x14ac:dyDescent="0.4">
      <c r="A890" s="55"/>
      <c r="D890" s="55"/>
      <c r="E890" s="55"/>
      <c r="F890" s="55"/>
      <c r="G890" s="55"/>
      <c r="H890" s="55"/>
      <c r="I890" s="55"/>
    </row>
    <row r="891" spans="1:9" x14ac:dyDescent="0.4">
      <c r="A891" s="55"/>
      <c r="D891" s="55"/>
      <c r="E891" s="55"/>
      <c r="F891" s="55"/>
      <c r="G891" s="55"/>
      <c r="H891" s="55"/>
      <c r="I891" s="55"/>
    </row>
    <row r="892" spans="1:9" x14ac:dyDescent="0.4">
      <c r="A892" s="55"/>
      <c r="D892" s="55"/>
      <c r="E892" s="55"/>
      <c r="F892" s="55"/>
      <c r="G892" s="55"/>
      <c r="H892" s="55"/>
      <c r="I892" s="55"/>
    </row>
    <row r="893" spans="1:9" x14ac:dyDescent="0.4">
      <c r="A893" s="55"/>
      <c r="D893" s="55"/>
      <c r="E893" s="55"/>
      <c r="F893" s="55"/>
      <c r="G893" s="55"/>
      <c r="H893" s="55"/>
      <c r="I893" s="55"/>
    </row>
    <row r="894" spans="1:9" x14ac:dyDescent="0.4">
      <c r="A894" s="55"/>
      <c r="D894" s="55"/>
      <c r="E894" s="55"/>
      <c r="F894" s="55"/>
      <c r="G894" s="55"/>
      <c r="H894" s="55"/>
      <c r="I894" s="55"/>
    </row>
    <row r="895" spans="1:9" x14ac:dyDescent="0.4">
      <c r="A895" s="55"/>
      <c r="D895" s="55"/>
      <c r="E895" s="55"/>
      <c r="F895" s="55"/>
      <c r="G895" s="55"/>
      <c r="H895" s="55"/>
      <c r="I895" s="55"/>
    </row>
    <row r="896" spans="1:9" x14ac:dyDescent="0.4">
      <c r="A896" s="55"/>
      <c r="D896" s="55"/>
      <c r="E896" s="55"/>
      <c r="F896" s="55"/>
      <c r="G896" s="55"/>
      <c r="H896" s="55"/>
      <c r="I896" s="55"/>
    </row>
    <row r="897" spans="1:9" x14ac:dyDescent="0.4">
      <c r="A897" s="55"/>
      <c r="D897" s="55"/>
      <c r="E897" s="55"/>
      <c r="F897" s="55"/>
      <c r="G897" s="55"/>
      <c r="H897" s="55"/>
      <c r="I897" s="55"/>
    </row>
    <row r="898" spans="1:9" x14ac:dyDescent="0.4">
      <c r="A898" s="55"/>
      <c r="D898" s="55"/>
      <c r="E898" s="55"/>
      <c r="F898" s="55"/>
      <c r="G898" s="55"/>
      <c r="H898" s="55"/>
      <c r="I898" s="55"/>
    </row>
    <row r="899" spans="1:9" x14ac:dyDescent="0.4">
      <c r="A899" s="55"/>
      <c r="D899" s="55"/>
      <c r="E899" s="55"/>
      <c r="F899" s="55"/>
      <c r="G899" s="55"/>
      <c r="H899" s="55"/>
      <c r="I899" s="55"/>
    </row>
    <row r="900" spans="1:9" x14ac:dyDescent="0.4">
      <c r="A900" s="55"/>
      <c r="D900" s="55"/>
      <c r="E900" s="55"/>
      <c r="F900" s="55"/>
      <c r="G900" s="55"/>
      <c r="H900" s="55"/>
      <c r="I900" s="55"/>
    </row>
    <row r="901" spans="1:9" x14ac:dyDescent="0.4">
      <c r="A901" s="55"/>
      <c r="D901" s="55"/>
      <c r="E901" s="55"/>
      <c r="F901" s="55"/>
      <c r="G901" s="55"/>
      <c r="H901" s="55"/>
      <c r="I901" s="55"/>
    </row>
  </sheetData>
  <autoFilter ref="A1:P37"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election activeCell="C25" sqref="C25"/>
    </sheetView>
  </sheetViews>
  <sheetFormatPr defaultRowHeight="18.75" x14ac:dyDescent="0.4"/>
  <cols>
    <col min="1" max="1" width="16.25" customWidth="1"/>
    <col min="2" max="2" width="25.875" customWidth="1"/>
    <col min="3" max="3" width="71.875" customWidth="1"/>
  </cols>
  <sheetData>
    <row r="1" spans="1:5" x14ac:dyDescent="0.4">
      <c r="A1" s="47" t="s">
        <v>166</v>
      </c>
      <c r="B1" s="48" t="s">
        <v>167</v>
      </c>
      <c r="C1" s="47" t="s">
        <v>168</v>
      </c>
      <c r="E1" s="6"/>
    </row>
    <row r="2" spans="1:5" x14ac:dyDescent="0.4">
      <c r="A2" s="6" t="s">
        <v>169</v>
      </c>
      <c r="B2" s="46" t="s">
        <v>170</v>
      </c>
      <c r="C2" s="1" t="s">
        <v>171</v>
      </c>
    </row>
    <row r="3" spans="1:5" x14ac:dyDescent="0.4">
      <c r="A3" s="6" t="s">
        <v>103</v>
      </c>
      <c r="B3" s="46" t="s">
        <v>172</v>
      </c>
      <c r="C3" s="1" t="s">
        <v>173</v>
      </c>
    </row>
    <row r="4" spans="1:5" x14ac:dyDescent="0.4">
      <c r="A4" s="49" t="s">
        <v>174</v>
      </c>
      <c r="B4" s="50" t="s">
        <v>170</v>
      </c>
      <c r="C4" s="51" t="s">
        <v>175</v>
      </c>
    </row>
    <row r="5" spans="1:5" x14ac:dyDescent="0.4">
      <c r="A5" s="52" t="s">
        <v>174</v>
      </c>
      <c r="B5" s="53" t="s">
        <v>172</v>
      </c>
      <c r="C5" s="54" t="s">
        <v>176</v>
      </c>
    </row>
    <row r="6" spans="1:5" x14ac:dyDescent="0.4">
      <c r="A6" s="49" t="s">
        <v>177</v>
      </c>
      <c r="B6" s="50" t="s">
        <v>170</v>
      </c>
      <c r="C6" s="51" t="s">
        <v>178</v>
      </c>
    </row>
    <row r="7" spans="1:5" x14ac:dyDescent="0.4">
      <c r="A7" s="52" t="s">
        <v>177</v>
      </c>
      <c r="B7" s="53" t="s">
        <v>172</v>
      </c>
      <c r="C7" s="54" t="s">
        <v>179</v>
      </c>
    </row>
    <row r="8" spans="1:5" x14ac:dyDescent="0.4">
      <c r="A8" s="6" t="s">
        <v>180</v>
      </c>
      <c r="B8" s="46" t="s">
        <v>170</v>
      </c>
      <c r="C8" s="1" t="s">
        <v>181</v>
      </c>
    </row>
    <row r="9" spans="1:5" x14ac:dyDescent="0.4">
      <c r="A9" s="6" t="s">
        <v>180</v>
      </c>
      <c r="B9" s="46" t="s">
        <v>172</v>
      </c>
      <c r="C9" s="1" t="s">
        <v>182</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election activeCell="B6" sqref="B6"/>
    </sheetView>
  </sheetViews>
  <sheetFormatPr defaultRowHeight="18.75" x14ac:dyDescent="0.4"/>
  <cols>
    <col min="1" max="1" width="3.625" customWidth="1"/>
  </cols>
  <sheetData>
    <row r="2" spans="2:6" x14ac:dyDescent="0.4">
      <c r="B2" s="6" t="s">
        <v>183</v>
      </c>
    </row>
    <row r="3" spans="2:6" x14ac:dyDescent="0.4">
      <c r="B3" s="6" t="s">
        <v>184</v>
      </c>
    </row>
    <row r="5" spans="2:6" x14ac:dyDescent="0.4">
      <c r="B5" s="6" t="s">
        <v>185</v>
      </c>
    </row>
    <row r="6" spans="2:6" x14ac:dyDescent="0.4">
      <c r="B6" s="93" t="s">
        <v>99</v>
      </c>
      <c r="F6" s="6" t="s">
        <v>186</v>
      </c>
    </row>
    <row r="7" spans="2:6" x14ac:dyDescent="0.4">
      <c r="B7" s="93"/>
      <c r="F7" s="6"/>
    </row>
    <row r="8" spans="2:6" x14ac:dyDescent="0.4">
      <c r="B8" s="72" t="s">
        <v>187</v>
      </c>
    </row>
    <row r="10" spans="2:6" x14ac:dyDescent="0.4">
      <c r="B10" s="6" t="s">
        <v>188</v>
      </c>
    </row>
    <row r="11" spans="2:6" x14ac:dyDescent="0.4">
      <c r="B11" s="6" t="s">
        <v>189</v>
      </c>
    </row>
    <row r="31" spans="2:2" x14ac:dyDescent="0.4">
      <c r="B31" s="6" t="s">
        <v>190</v>
      </c>
    </row>
    <row r="51" spans="2:2" x14ac:dyDescent="0.4">
      <c r="B51" s="6" t="s">
        <v>191</v>
      </c>
    </row>
    <row r="53" spans="2:2" x14ac:dyDescent="0.4">
      <c r="B53" s="6" t="s">
        <v>192</v>
      </c>
    </row>
    <row r="55" spans="2:2" x14ac:dyDescent="0.4">
      <c r="B55" s="6" t="s">
        <v>193</v>
      </c>
    </row>
    <row r="72" spans="2:2" x14ac:dyDescent="0.4">
      <c r="B72" s="94" t="s">
        <v>194</v>
      </c>
    </row>
    <row r="73" spans="2:2" x14ac:dyDescent="0.4">
      <c r="B73" s="94" t="s">
        <v>195</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x14ac:dyDescent="0.4"/>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103</v>
      </c>
      <c r="N3" s="21" t="s">
        <v>205</v>
      </c>
      <c r="O3" s="21"/>
      <c r="BA3" s="21" t="s">
        <v>206</v>
      </c>
      <c r="BE3" s="21" t="s">
        <v>207</v>
      </c>
    </row>
    <row r="4" spans="1:84" x14ac:dyDescent="0.4">
      <c r="A4" s="6" t="s">
        <v>208</v>
      </c>
      <c r="B4" s="1" t="s">
        <v>209</v>
      </c>
      <c r="AY4" s="23"/>
      <c r="AZ4" s="13"/>
      <c r="BD4" s="13"/>
    </row>
    <row r="5" spans="1:84" x14ac:dyDescent="0.4">
      <c r="A5" s="6" t="s">
        <v>210</v>
      </c>
      <c r="B5" s="1" t="s">
        <v>211</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x14ac:dyDescent="0.4">
      <c r="F15" s="6">
        <f>IF(F17="",0,COUNTA(F$17:F529))</f>
        <v>4</v>
      </c>
      <c r="G15" s="6" t="s">
        <v>248</v>
      </c>
      <c r="J15" s="14">
        <v>0</v>
      </c>
      <c r="N15" s="9" t="str">
        <f>N1</f>
        <v>VM#0</v>
      </c>
      <c r="O15" s="6" t="s">
        <v>248</v>
      </c>
      <c r="Q15" s="6">
        <f>F15</f>
        <v>4</v>
      </c>
      <c r="R15" s="6">
        <f>COUNTIF(P17:P529,"R")</f>
        <v>0</v>
      </c>
      <c r="S15" s="6">
        <f>COUNTIF(R$15,"&lt;&gt;0")</f>
        <v>0</v>
      </c>
      <c r="T15" s="14">
        <v>0</v>
      </c>
      <c r="U15" s="6">
        <f>COUNTA(U$17:U529)</f>
        <v>4</v>
      </c>
      <c r="V15" s="9" t="str">
        <f>V1</f>
        <v>VM#1(MET)</v>
      </c>
      <c r="W15" s="6" t="str">
        <f>O15</f>
        <v>CPREQ_</v>
      </c>
      <c r="Y15" s="6">
        <f>Q15+R15</f>
        <v>4</v>
      </c>
      <c r="Z15" s="6">
        <f>COUNTIF(X17:X529,"R")</f>
        <v>0</v>
      </c>
      <c r="AA15" s="6">
        <f>S15+COUNTIF(Z$15,"&lt;&gt;0")</f>
        <v>0</v>
      </c>
      <c r="AB15" s="14">
        <v>0</v>
      </c>
      <c r="AC15" s="6">
        <f>COUNTA(AC$17:AC529)</f>
        <v>16</v>
      </c>
      <c r="AD15" s="9" t="str">
        <f>AD1</f>
        <v>VM#2(IVI)</v>
      </c>
      <c r="AE15" s="6" t="str">
        <f>W15</f>
        <v>CPREQ_</v>
      </c>
      <c r="AG15" s="6">
        <f>Y15+Z15</f>
        <v>4</v>
      </c>
      <c r="AH15" s="6">
        <f>COUNTIF(AF17:AF529,"R")</f>
        <v>0</v>
      </c>
      <c r="AI15" s="6">
        <f>AA15+COUNTIF(AH$15,"&lt;&gt;0")</f>
        <v>0</v>
      </c>
      <c r="AJ15" s="14">
        <v>0</v>
      </c>
      <c r="AK15" s="6">
        <f>COUNTA(AK$17:AK529)</f>
        <v>23</v>
      </c>
      <c r="AL15" s="9" t="str">
        <f>AL1</f>
        <v>VM#3(CEN)</v>
      </c>
      <c r="AM15" s="6" t="str">
        <f>AE15</f>
        <v>CPREQ_</v>
      </c>
      <c r="AO15" s="6">
        <f>AG15+AH15</f>
        <v>4</v>
      </c>
      <c r="AP15" s="6">
        <f>COUNTIF(AN17:AN529,"R")</f>
        <v>0</v>
      </c>
      <c r="AQ15" s="6">
        <f>AI15+COUNTIF(AP$15,"&lt;&gt;0")</f>
        <v>0</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20">IFERROR(_xlfn._xlws.FILTER('Inter-VM Data Table'!$A2:$A901,INDEX('Inter-VM Data Table'!2:901,,MATCH(B3,'Inter-VM Data Table'!1:1,0))="T"),"")</f>
        <v>18</v>
      </c>
      <c r="G17" s="6" t="str" cm="1">
        <f t="array" ref="G17:G20">IFERROR(_xlfn._xlws.FILTER('Inter-VM Data Table'!$D2:$D901,INDEX('Inter-VM Data Table'!2:901,,MATCH(B3,'Inter-VM Data Table'!1:1,0))="T"),"")</f>
        <v>CANBUS_STS_2M1</v>
      </c>
      <c r="H17" s="6" t="str" cm="1">
        <f t="array" ref="H17:H20">IFERROR(_xlfn._xlws.FILTER(INDEX('Inter-VM Data Table'!2:901,,MATCH($B$3,'Inter-VM Data Table'!1:1,0)),INDEX('Inter-VM Data Table'!2:901,,MATCH(B3,'Inter-VM Data Table'!1:1,0))="T"),"")</f>
        <v>T</v>
      </c>
      <c r="I17" s="6" cm="1">
        <f t="array" ref="I17:I20">IFERROR(ROUNDDOWN(     (_xlfn._xlws.FILTER('Inter-VM Data Table'!$I2:$I901,INDEX('Inter-VM Data Table'!2:901,,MATCH(B3,'Inter-VM Data Table'!1:1,0))="T")+3)/4,    0       ),"")</f>
        <v>1</v>
      </c>
      <c r="J17" s="6">
        <v>0</v>
      </c>
      <c r="K17" s="6" t="str" cm="1">
        <f t="array" ref="K17:K20">IF(_xlfn.ANCHORARRAY(G17)=0,K1&amp;G15&amp;TEXT(_xlfn.ANCHORARRAY(F17),"000"),K1&amp;_xlfn.ANCHORARRAY(G17))</f>
        <v>IVDSH_DID_WRI_CANBUS_STS_2M1</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T</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v>
      </c>
      <c r="Y17" s="6" cm="1">
        <f t="array" ref="Y17:Y32">IFERROR(ROUNDDOWN(     (_xlfn._xlws.FILTER('Inter-VM Data Table'!$I2:$I901,INDEX('Inter-VM Data Table'!2:901,,MATCH(V1,'Inter-VM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v>
      </c>
      <c r="AO17" s="6" cm="1">
        <f t="array" ref="AO17:AO28">IFERROR(ROUNDDOWN(     (_xlfn._xlws.FILTER('Inter-VM Data Table'!$I2:$I901,INDEX('Inter-VM Data Table'!2:901,,MATCH(AL1,'Inter-VM Data Table'!1:1,0))="T")+3)/4,      0),"")</f>
        <v>1</v>
      </c>
      <c r="AP17" s="6" t="str">
        <f>IF(AN17="R",AO$15+0,"")</f>
        <v/>
      </c>
      <c r="AQ17" s="6" t="str">
        <f>IF(AP$15=0,"",AI15)</f>
        <v/>
      </c>
      <c r="AR17" s="6" t="str">
        <f>IF(AP$15=0,"",AJ$15)</f>
        <v/>
      </c>
      <c r="AS17" s="6" t="str" cm="1">
        <f t="array" ref="AS17:AS28">IF(_xlfn.ANCHORARRAY(AM17)=0,AS1&amp;AM15&amp;TEXT(_xlfn.ANCHORARRAY(AL17),"000"),AS1&amp;_xlfn.ANCHORARRAY(AM17))</f>
        <v>IVDSH_DID_REA_VM3TO2_SIPERR_INF</v>
      </c>
      <c r="AV17" s="6" t="s">
        <v>258</v>
      </c>
      <c r="AW17" s="6">
        <f>F15</f>
        <v>4</v>
      </c>
      <c r="BA17" s="12" t="s">
        <v>259</v>
      </c>
      <c r="BB17" s="11">
        <f>AW17</f>
        <v>4</v>
      </c>
      <c r="BD17" s="27" t="s">
        <v>260</v>
      </c>
      <c r="BE17" s="11" t="str">
        <f t="shared" ref="BE17:BE80" si="0">IF(F17="","","#define "&amp;K17&amp;REPT(" ",41-LEN(K17))&amp;"("&amp;E17&amp;"U)")</f>
        <v>#define IVDSH_DID_WRI_CANBUS_STS_2M1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IVDSH_DID_WRI_CANBUS_STS_2M1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x14ac:dyDescent="0.4">
      <c r="E18" s="6">
        <f>E17+1</f>
        <v>1</v>
      </c>
      <c r="F18" s="6">
        <v>19</v>
      </c>
      <c r="G18" s="6" t="str">
        <v>CANBUS_STS_5M</v>
      </c>
      <c r="H18" s="6" t="str">
        <v>T</v>
      </c>
      <c r="I18" s="6">
        <v>1</v>
      </c>
      <c r="J18" s="6">
        <f>IF(F18="","",I17+J17)</f>
        <v>1</v>
      </c>
      <c r="K18" s="6" t="str">
        <v>IVDSH_DID_WRI_CANBUS_STS_5M</v>
      </c>
      <c r="N18" s="6">
        <v>19</v>
      </c>
      <c r="O18" s="6" t="str">
        <v>CANBUS_STS_5M</v>
      </c>
      <c r="P18" s="6" t="str">
        <v>T</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t="str">
        <f>IF(OR(Z$15=0,V18=""),"",AA17)</f>
        <v/>
      </c>
      <c r="AB18" s="6" t="str">
        <f>IF(OR(V18="",Z$15=0),"",AB17+Y17)</f>
        <v/>
      </c>
      <c r="AC18" s="6" t="str">
        <v>IVDSH_DID_REA_VM1TO2_TIMOFST</v>
      </c>
      <c r="AD18" s="6">
        <v>6</v>
      </c>
      <c r="AE18" s="6" t="str">
        <v>VM2TO1_TIMOFST</v>
      </c>
      <c r="AF18" s="6" t="str">
        <v>-</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v>
      </c>
      <c r="AO18" s="6">
        <v>1</v>
      </c>
      <c r="AP18" s="6" t="str">
        <f>IF(AN18="R",MAX(AP$17:AP17,AO$15-1)+1,"")</f>
        <v/>
      </c>
      <c r="AQ18" s="6" t="str">
        <f>IF(OR(AP$15=0,AL18=""),"",AQ17)</f>
        <v/>
      </c>
      <c r="AR18" s="6" t="str">
        <f>IF(OR(AL18="",AP$15=0),"",AR17+AO17)</f>
        <v/>
      </c>
      <c r="AS18" s="6" t="str">
        <v>IVDSH_DID_REA_VM3TO2_OTA_OFFSTS</v>
      </c>
      <c r="AV18" s="6" t="s">
        <v>261</v>
      </c>
      <c r="AW18" s="6">
        <f>R15+Z15+AH15+AP15</f>
        <v>0</v>
      </c>
      <c r="BA18" s="12" t="s">
        <v>262</v>
      </c>
      <c r="BB18" s="11">
        <f>AW18</f>
        <v>0</v>
      </c>
      <c r="BE18" s="11" t="str">
        <f t="shared" si="0"/>
        <v>#define IVDSH_DID_WRI_CANBUS_STS_5M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IVDSH_DID_WRI_CANBUS_STS_5M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x14ac:dyDescent="0.4">
      <c r="E19" s="6">
        <f t="shared" ref="E19:E82" si="12">E18+1</f>
        <v>2</v>
      </c>
      <c r="F19" s="6">
        <v>20</v>
      </c>
      <c r="G19" s="6" t="str">
        <v>CANBUS_STS_2M2</v>
      </c>
      <c r="H19" s="6" t="str">
        <v>T</v>
      </c>
      <c r="I19" s="6">
        <v>1</v>
      </c>
      <c r="J19" s="6">
        <f>IF(F19="","",I18+J18)</f>
        <v>2</v>
      </c>
      <c r="K19" s="6" t="str">
        <v>IVDSH_DID_WRI_CANBUS_STS_2M2</v>
      </c>
      <c r="N19" s="6">
        <v>20</v>
      </c>
      <c r="O19" s="6" t="str">
        <v>CANBUS_STS_2M2</v>
      </c>
      <c r="P19" s="6" t="str">
        <v>T</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v>
      </c>
      <c r="AG19" s="6">
        <v>1</v>
      </c>
      <c r="AH19" s="6" t="str">
        <f>IF(AF19="R",MAX(AH$17:AH18,AG$15-1)+1,"")</f>
        <v/>
      </c>
      <c r="AI19" s="6" t="str">
        <f t="shared" si="5"/>
        <v/>
      </c>
      <c r="AJ19" s="6" t="str">
        <f t="shared" si="6"/>
        <v/>
      </c>
      <c r="AK19" s="6" t="str">
        <v>IVDSH_DID_REA_VM2TO1_TIMFMT</v>
      </c>
      <c r="AL19" s="6">
        <v>24</v>
      </c>
      <c r="AM19" s="6" t="str">
        <v>VM3TO2_BOOTLOG_INF</v>
      </c>
      <c r="AN19" s="6" t="str">
        <v>-</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1</v>
      </c>
      <c r="BE19" s="11" t="str">
        <f t="shared" si="0"/>
        <v>#define IVDSH_DID_WRI_CANBUS_STS_2M2             (2U)</v>
      </c>
      <c r="BF19" s="11" t="str">
        <f t="shared" si="1"/>
        <v/>
      </c>
      <c r="BG19" s="11" t="str">
        <f t="shared" si="2"/>
        <v/>
      </c>
      <c r="BH19" s="11" t="str">
        <f t="shared" si="3"/>
        <v/>
      </c>
      <c r="BI19" s="11" t="str">
        <f t="shared" si="4"/>
        <v/>
      </c>
      <c r="BJ19" s="11"/>
      <c r="BK19" s="11" t="str">
        <f t="shared" si="7"/>
        <v xml:space="preserve">    {(U2)2U,        (U2)1U,         (U2)IVDSH_FQ_CH_WRI  },     /* IVDSH_DID_WRI_CANBUS_STS_2M2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x14ac:dyDescent="0.4">
      <c r="E20" s="6">
        <f t="shared" si="12"/>
        <v>3</v>
      </c>
      <c r="F20" s="6">
        <v>21</v>
      </c>
      <c r="G20" s="6" t="str">
        <v>CANBUS_STS_LCAN</v>
      </c>
      <c r="H20" s="6" t="str">
        <v>T</v>
      </c>
      <c r="I20" s="6">
        <v>1</v>
      </c>
      <c r="J20" s="6">
        <f t="shared" ref="J20:J83" si="19">IF(F20="","",I19+J19)</f>
        <v>3</v>
      </c>
      <c r="K20" s="6" t="str">
        <v>IVDSH_DID_WRI_CANBUS_STS_LCAN</v>
      </c>
      <c r="N20" s="6">
        <v>21</v>
      </c>
      <c r="O20" s="6" t="str">
        <v>CANBUS_STS_LCAN</v>
      </c>
      <c r="P20" s="6" t="str">
        <v>T</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t="str">
        <f t="shared" si="15"/>
        <v/>
      </c>
      <c r="AB20" s="6" t="str">
        <f t="shared" si="16"/>
        <v/>
      </c>
      <c r="AC20" s="6" t="str">
        <v>IVDSH_DID_REA_VM1TO2_CAL</v>
      </c>
      <c r="AD20" s="6">
        <v>9</v>
      </c>
      <c r="AE20" s="6" t="str">
        <v>VM2TO1_DSPTIM</v>
      </c>
      <c r="AF20" s="6" t="str">
        <v>-</v>
      </c>
      <c r="AG20" s="6">
        <v>1</v>
      </c>
      <c r="AH20" s="6" t="str">
        <f>IF(AF20="R",MAX(AH$17:AH19,AG$15-1)+1,"")</f>
        <v/>
      </c>
      <c r="AI20" s="6" t="str">
        <f t="shared" si="5"/>
        <v/>
      </c>
      <c r="AJ20" s="6" t="str">
        <f t="shared" si="6"/>
        <v/>
      </c>
      <c r="AK20" s="6" t="str">
        <v>IVDSH_DID_REA_VM2TO1_DSPTIM</v>
      </c>
      <c r="AL20" s="6">
        <v>26</v>
      </c>
      <c r="AM20" s="6" t="str">
        <v>VM3TO12_RESTART</v>
      </c>
      <c r="AN20" s="6" t="str">
        <v>-</v>
      </c>
      <c r="AO20" s="6">
        <v>1</v>
      </c>
      <c r="AP20" s="6" t="str">
        <f>IF(AN20="R",MAX(AP$17:AP19,AO$15-1)+1,"")</f>
        <v/>
      </c>
      <c r="AQ20" s="6" t="str">
        <f t="shared" si="17"/>
        <v/>
      </c>
      <c r="AR20" s="6" t="str">
        <f t="shared" si="18"/>
        <v/>
      </c>
      <c r="AS20" s="6" t="str">
        <v>IVDSH_DID_REA_VM3TO12_RESTART</v>
      </c>
      <c r="AV20" s="6" t="s">
        <v>264</v>
      </c>
      <c r="AW20" s="6">
        <f>MAX(AW22:AW26)+1</f>
        <v>1</v>
      </c>
      <c r="BA20" s="12" t="s">
        <v>265</v>
      </c>
      <c r="BB20" s="11">
        <f>AW21</f>
        <v>0</v>
      </c>
      <c r="BE20" s="11" t="str">
        <f t="shared" si="0"/>
        <v>#define IVDSH_DID_WRI_CANBUS_STS_LCAN            (3U)</v>
      </c>
      <c r="BF20" s="11" t="str">
        <f t="shared" si="1"/>
        <v/>
      </c>
      <c r="BG20" s="11" t="str">
        <f t="shared" si="2"/>
        <v/>
      </c>
      <c r="BH20" s="11" t="str">
        <f t="shared" si="3"/>
        <v/>
      </c>
      <c r="BI20" s="11" t="str">
        <f t="shared" si="4"/>
        <v/>
      </c>
      <c r="BJ20" s="11"/>
      <c r="BK20" s="11" t="str">
        <f t="shared" si="7"/>
        <v xml:space="preserve">    {(U2)3U,        (U2)1U,         (U2)IVDSH_FQ_CH_WRI  },     /* IVDSH_DID_WRI_CANBUS_STS_LCAN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x14ac:dyDescent="0.4">
      <c r="E21" s="6">
        <f t="shared" si="12"/>
        <v>4</v>
      </c>
      <c r="J21" s="6" t="str">
        <f t="shared" si="19"/>
        <v/>
      </c>
      <c r="R21" s="6" t="str">
        <f>IF(P21="R",MAX(R$17:R20,Q$15-1)+1,"")</f>
        <v/>
      </c>
      <c r="S21" s="6" t="str">
        <f t="shared" si="13"/>
        <v/>
      </c>
      <c r="T21" s="6" t="str">
        <f t="shared" si="14"/>
        <v/>
      </c>
      <c r="V21" s="6">
        <v>13</v>
      </c>
      <c r="W21" s="6" t="str">
        <v>VM1TO2_CALDEF</v>
      </c>
      <c r="X21" s="6" t="str">
        <v>-</v>
      </c>
      <c r="Y21" s="6">
        <v>1</v>
      </c>
      <c r="Z21" s="6" t="str">
        <f>IF(X21="R",MAX(Z$17:Z20,Y$15-1)+1,"")</f>
        <v/>
      </c>
      <c r="AA21" s="6" t="str">
        <f t="shared" si="15"/>
        <v/>
      </c>
      <c r="AB21" s="6" t="str">
        <f t="shared" si="16"/>
        <v/>
      </c>
      <c r="AC21" s="6" t="str">
        <v>IVDSH_DID_REA_VM1TO2_CALDEF</v>
      </c>
      <c r="AD21" s="6">
        <v>10</v>
      </c>
      <c r="AE21" s="6" t="str">
        <v>VM2TO1_DSPCAL</v>
      </c>
      <c r="AF21" s="6" t="str">
        <v>-</v>
      </c>
      <c r="AG21" s="6">
        <v>1</v>
      </c>
      <c r="AH21" s="6" t="str">
        <f>IF(AF21="R",MAX(AH$17:AH20,AG$15-1)+1,"")</f>
        <v/>
      </c>
      <c r="AI21" s="6" t="str">
        <f t="shared" si="5"/>
        <v/>
      </c>
      <c r="AJ21" s="6" t="str">
        <f t="shared" si="6"/>
        <v/>
      </c>
      <c r="AK21" s="6" t="str">
        <v>IVDSH_DID_REA_VM2TO1_DSPCAL</v>
      </c>
      <c r="AL21" s="6">
        <v>29</v>
      </c>
      <c r="AM21" s="6" t="str">
        <v>VM3TO2_BOOT_CNT</v>
      </c>
      <c r="AN21" s="6" t="str">
        <v>-</v>
      </c>
      <c r="AO21" s="6">
        <v>1</v>
      </c>
      <c r="AP21" s="6" t="str">
        <f>IF(AN21="R",MAX(AP$17:AP20,AO$15-1)+1,"")</f>
        <v/>
      </c>
      <c r="AQ21" s="6" t="str">
        <f t="shared" si="17"/>
        <v/>
      </c>
      <c r="AR21" s="6" t="str">
        <f t="shared" si="18"/>
        <v/>
      </c>
      <c r="AS21" s="6" t="str">
        <v>IVDSH_DID_REA_VM3TO2_BOOT_CNT</v>
      </c>
      <c r="AV21" s="6" t="s">
        <v>266</v>
      </c>
      <c r="AW21" s="6">
        <f>COUNTIF(AW22:AW25,"&gt;=0")</f>
        <v>0</v>
      </c>
      <c r="AX21" s="30" t="s">
        <v>267</v>
      </c>
      <c r="BA21" s="12" t="s">
        <v>268</v>
      </c>
      <c r="BB21" s="11">
        <f>AW29</f>
        <v>4</v>
      </c>
      <c r="BE21" s="11" t="str">
        <f t="shared" si="0"/>
        <v/>
      </c>
      <c r="BF21" s="11" t="str">
        <f t="shared" si="1"/>
        <v/>
      </c>
      <c r="BG21" s="11" t="str">
        <f t="shared" si="2"/>
        <v/>
      </c>
      <c r="BH21" s="11" t="str">
        <f t="shared" si="3"/>
        <v/>
      </c>
      <c r="BI21" s="11" t="str">
        <f t="shared" si="4"/>
        <v/>
      </c>
      <c r="BJ21" s="11"/>
      <c r="BK21" s="11" t="str">
        <f t="shared" si="7"/>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x14ac:dyDescent="0.4">
      <c r="E22" s="6">
        <f t="shared" si="12"/>
        <v>5</v>
      </c>
      <c r="J22" s="6" t="str">
        <f t="shared" si="19"/>
        <v/>
      </c>
      <c r="R22" s="6" t="str">
        <f>IF(P22="R",MAX(R$17:R21,Q$15-1)+1,"")</f>
        <v/>
      </c>
      <c r="S22" s="6" t="str">
        <f t="shared" si="13"/>
        <v/>
      </c>
      <c r="T22" s="6" t="str">
        <f t="shared" si="14"/>
        <v/>
      </c>
      <c r="V22" s="6">
        <v>14</v>
      </c>
      <c r="W22" s="6" t="str">
        <v>VM1TO2_CALMIN</v>
      </c>
      <c r="X22" s="6" t="str">
        <v>-</v>
      </c>
      <c r="Y22" s="6">
        <v>1</v>
      </c>
      <c r="Z22" s="6" t="str">
        <f>IF(X22="R",MAX(Z$17:Z21,Y$15-1)+1,"")</f>
        <v/>
      </c>
      <c r="AA22" s="6" t="str">
        <f t="shared" si="15"/>
        <v/>
      </c>
      <c r="AB22" s="6" t="str">
        <f t="shared" si="16"/>
        <v/>
      </c>
      <c r="AC22" s="6" t="str">
        <v>IVDSH_DID_REA_VM1TO2_CALMIN</v>
      </c>
      <c r="AD22" s="6">
        <v>12</v>
      </c>
      <c r="AE22" s="6" t="str">
        <v>VM2TO1_CAL</v>
      </c>
      <c r="AF22" s="6" t="str">
        <v>-</v>
      </c>
      <c r="AG22" s="6">
        <v>1</v>
      </c>
      <c r="AH22" s="6" t="str">
        <f>IF(AF22="R",MAX(AH$17:AH21,AG$15-1)+1,"")</f>
        <v/>
      </c>
      <c r="AI22" s="6" t="str">
        <f t="shared" si="5"/>
        <v/>
      </c>
      <c r="AJ22" s="6" t="str">
        <f t="shared" si="6"/>
        <v/>
      </c>
      <c r="AK22" s="6" t="str">
        <v>IVDSH_DID_REA_VM2TO1_CAL</v>
      </c>
      <c r="AL22" s="6">
        <v>30</v>
      </c>
      <c r="AM22" s="6" t="str">
        <v>VM3TO2_BOOT_TIME</v>
      </c>
      <c r="AN22" s="6" t="str">
        <v>-</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4</v>
      </c>
      <c r="BE22" s="11" t="str">
        <f t="shared" si="0"/>
        <v/>
      </c>
      <c r="BF22" s="11" t="str">
        <f t="shared" si="1"/>
        <v/>
      </c>
      <c r="BG22" s="11" t="str">
        <f t="shared" si="2"/>
        <v/>
      </c>
      <c r="BH22" s="11" t="str">
        <f t="shared" si="3"/>
        <v/>
      </c>
      <c r="BI22" s="11" t="str">
        <f t="shared" si="4"/>
        <v/>
      </c>
      <c r="BJ22" s="11"/>
      <c r="BK22" s="11" t="str">
        <f t="shared" si="7"/>
        <v/>
      </c>
      <c r="BL22" s="11" t="str">
        <f t="shared" si="8"/>
        <v/>
      </c>
      <c r="BM22" s="11" t="str">
        <f t="shared" si="9"/>
        <v/>
      </c>
      <c r="BN22" s="11" t="str">
        <f t="shared" si="10"/>
        <v/>
      </c>
      <c r="BO22" s="11" t="str">
        <f t="shared" si="11"/>
        <v/>
      </c>
      <c r="BP22" s="11"/>
      <c r="BQ22" s="11"/>
      <c r="BR22" s="28" t="str">
        <f>IF(AW36="","","    },")</f>
        <v/>
      </c>
      <c r="BS22" s="11" t="str">
        <f>IF(AW26&lt;&gt;"","    },","")</f>
        <v xml:space="preserve">    },</v>
      </c>
    </row>
    <row r="23" spans="5:71" x14ac:dyDescent="0.4">
      <c r="E23" s="6">
        <f t="shared" si="12"/>
        <v>6</v>
      </c>
      <c r="J23" s="6" t="str">
        <f t="shared" si="19"/>
        <v/>
      </c>
      <c r="R23" s="6" t="str">
        <f>IF(P23="R",MAX(R$17:R22,Q$15-1)+1,"")</f>
        <v/>
      </c>
      <c r="S23" s="6" t="str">
        <f t="shared" si="13"/>
        <v/>
      </c>
      <c r="T23" s="6" t="str">
        <f t="shared" si="14"/>
        <v/>
      </c>
      <c r="V23" s="6">
        <v>15</v>
      </c>
      <c r="W23" s="6" t="str">
        <v>VM1TO3_SPI_FAIL</v>
      </c>
      <c r="X23" s="6" t="str">
        <v>-</v>
      </c>
      <c r="Y23" s="6">
        <v>1</v>
      </c>
      <c r="Z23" s="6" t="str">
        <f>IF(X23="R",MAX(Z$17:Z22,Y$15-1)+1,"")</f>
        <v/>
      </c>
      <c r="AA23" s="6" t="str">
        <f t="shared" si="15"/>
        <v/>
      </c>
      <c r="AB23" s="6" t="str">
        <f t="shared" si="16"/>
        <v/>
      </c>
      <c r="AC23" s="6" t="str">
        <v>IVDSH_DID_REA_VM1TO3_SPI_FAIL</v>
      </c>
      <c r="AD23" s="6">
        <v>16</v>
      </c>
      <c r="AE23" s="6" t="str">
        <v>VM2TO1_CAM_DIAP</v>
      </c>
      <c r="AF23" s="6" t="str">
        <v>-</v>
      </c>
      <c r="AG23" s="6">
        <v>1</v>
      </c>
      <c r="AH23" s="6" t="str">
        <f>IF(AF23="R",MAX(AH$17:AH22,AG$15-1)+1,"")</f>
        <v/>
      </c>
      <c r="AI23" s="6" t="str">
        <f t="shared" si="5"/>
        <v/>
      </c>
      <c r="AJ23" s="6" t="str">
        <f t="shared" si="6"/>
        <v/>
      </c>
      <c r="AK23" s="6" t="str">
        <v>IVDSH_DID_REA_VM2TO1_CAM_DIAP</v>
      </c>
      <c r="AL23" s="6">
        <v>31</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x14ac:dyDescent="0.4">
      <c r="E24" s="6">
        <f t="shared" si="12"/>
        <v>7</v>
      </c>
      <c r="J24" s="6" t="str">
        <f t="shared" si="19"/>
        <v/>
      </c>
      <c r="R24" s="6" t="str">
        <f>IF(P24="R",MAX(R$17:R23,Q$15-1)+1,"")</f>
        <v/>
      </c>
      <c r="S24" s="6" t="str">
        <f t="shared" si="13"/>
        <v/>
      </c>
      <c r="T24" s="6" t="str">
        <f t="shared" si="14"/>
        <v/>
      </c>
      <c r="V24" s="6">
        <v>17</v>
      </c>
      <c r="W24" s="6" t="str">
        <v>VM1TO2_CAM_DIAP</v>
      </c>
      <c r="X24" s="6" t="str">
        <v>-</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t="str">
        <f t="shared" si="5"/>
        <v/>
      </c>
      <c r="AJ24" s="6" t="str">
        <f t="shared" si="6"/>
        <v/>
      </c>
      <c r="AK24" s="6" t="str">
        <v>IVDSH_DID_REA_VM2TO3_WHLINI_INF</v>
      </c>
      <c r="AL24" s="6">
        <v>49</v>
      </c>
      <c r="AM24" s="6" t="str">
        <v>VM3TO2_WHLINI_INF</v>
      </c>
      <c r="AN24" s="6" t="str">
        <v>-</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x14ac:dyDescent="0.4">
      <c r="E25" s="6">
        <f t="shared" si="12"/>
        <v>8</v>
      </c>
      <c r="J25" s="6" t="str">
        <f t="shared" si="19"/>
        <v/>
      </c>
      <c r="R25" s="6" t="str">
        <f>IF(P25="R",MAX(R$17:R24,Q$15-1)+1,"")</f>
        <v/>
      </c>
      <c r="S25" s="6" t="str">
        <f t="shared" si="13"/>
        <v/>
      </c>
      <c r="T25" s="6" t="str">
        <f t="shared" si="14"/>
        <v/>
      </c>
      <c r="V25" s="6">
        <v>22</v>
      </c>
      <c r="W25" s="6" t="str">
        <v>VM1TO2_FLYNOP</v>
      </c>
      <c r="X25" s="6" t="str">
        <v>-</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x14ac:dyDescent="0.4">
      <c r="E26" s="6">
        <f t="shared" si="12"/>
        <v>9</v>
      </c>
      <c r="J26" s="6" t="str">
        <f t="shared" si="19"/>
        <v/>
      </c>
      <c r="R26" s="6" t="str">
        <f>IF(P26="R",MAX(R$17:R25,Q$15-1)+1,"")</f>
        <v/>
      </c>
      <c r="S26" s="6" t="str">
        <f t="shared" si="13"/>
        <v/>
      </c>
      <c r="T26" s="6" t="str">
        <f t="shared" si="14"/>
        <v/>
      </c>
      <c r="V26" s="6">
        <v>25</v>
      </c>
      <c r="W26" s="6" t="str">
        <v>VM1TO23_FSLP</v>
      </c>
      <c r="X26" s="6" t="str">
        <v>-</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t="str">
        <f t="shared" si="17"/>
        <v/>
      </c>
      <c r="AR26" s="6" t="str">
        <f t="shared" si="18"/>
        <v/>
      </c>
      <c r="AS26" s="6" t="str">
        <v>IVDSH_DID_REA_VM3TO1_SOC_POW_STS</v>
      </c>
      <c r="AV26" s="6" t="s">
        <v>273</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x14ac:dyDescent="0.4">
      <c r="E27" s="6">
        <f t="shared" si="12"/>
        <v>10</v>
      </c>
      <c r="J27" s="6" t="str">
        <f t="shared" si="19"/>
        <v/>
      </c>
      <c r="R27" s="6" t="str">
        <f>IF(P27="R",MAX(R$17:R26,Q$15-1)+1,"")</f>
        <v/>
      </c>
      <c r="S27" s="6" t="str">
        <f t="shared" si="13"/>
        <v/>
      </c>
      <c r="T27" s="6" t="str">
        <f t="shared" si="14"/>
        <v/>
      </c>
      <c r="V27" s="6">
        <v>34</v>
      </c>
      <c r="W27" s="6" t="str">
        <v>VM1TO2_WHLINI_RES</v>
      </c>
      <c r="X27" s="6" t="str">
        <v>-</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t="str">
        <f t="shared" si="5"/>
        <v/>
      </c>
      <c r="AJ27" s="6" t="str">
        <f t="shared" si="6"/>
        <v/>
      </c>
      <c r="AK27" s="6" t="str">
        <v>IVDSH_DID_REA_GPS_REQ</v>
      </c>
      <c r="AL27" s="6">
        <v>53</v>
      </c>
      <c r="AM27" s="6" t="str">
        <v>VM3TO2_WKUP_COND</v>
      </c>
      <c r="AN27" s="6" t="str">
        <v>-</v>
      </c>
      <c r="AO27" s="6">
        <v>1</v>
      </c>
      <c r="AP27" s="6" t="str">
        <f>IF(AN27="R",MAX(AP$17:AP26,AO$15-1)+1,"")</f>
        <v/>
      </c>
      <c r="AQ27" s="6" t="str">
        <f t="shared" si="17"/>
        <v/>
      </c>
      <c r="AR27" s="6" t="str">
        <f t="shared" si="18"/>
        <v/>
      </c>
      <c r="AS27" s="6" t="str">
        <v>IVDSH_DID_REA_VM3TO2_WKUP_COND</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x14ac:dyDescent="0.4">
      <c r="E28" s="6">
        <f t="shared" si="12"/>
        <v>11</v>
      </c>
      <c r="J28" s="6" t="str">
        <f t="shared" si="19"/>
        <v/>
      </c>
      <c r="R28" s="6" t="str">
        <f>IF(P28="R",MAX(R$17:R27,Q$15-1)+1,"")</f>
        <v/>
      </c>
      <c r="S28" s="6" t="str">
        <f t="shared" si="13"/>
        <v/>
      </c>
      <c r="T28" s="6" t="str">
        <f t="shared" si="14"/>
        <v/>
      </c>
      <c r="V28" s="6">
        <v>35</v>
      </c>
      <c r="W28" s="6" t="str">
        <v>VM1TO3_WHLINI_INF</v>
      </c>
      <c r="X28" s="6" t="str">
        <v>-</v>
      </c>
      <c r="Y28" s="6">
        <v>1</v>
      </c>
      <c r="Z28" s="6" t="str">
        <f>IF(X28="R",MAX(Z$17:Z27,Y$15-1)+1,"")</f>
        <v/>
      </c>
      <c r="AA28" s="6" t="str">
        <f t="shared" si="15"/>
        <v/>
      </c>
      <c r="AB28" s="6" t="str">
        <f t="shared" si="16"/>
        <v/>
      </c>
      <c r="AC28" s="6" t="str">
        <v>IVDSH_DID_REA_VM1TO3_WHLINI_INF</v>
      </c>
      <c r="AD28" s="6">
        <v>33</v>
      </c>
      <c r="AE28" s="6" t="str">
        <v>VM2TO1_WHLINI_REQ</v>
      </c>
      <c r="AF28" s="6" t="str">
        <v>-</v>
      </c>
      <c r="AG28" s="6">
        <v>1</v>
      </c>
      <c r="AH28" s="6" t="str">
        <f>IF(AF28="R",MAX(AH$17:AH27,AG$15-1)+1,"")</f>
        <v/>
      </c>
      <c r="AI28" s="6" t="str">
        <f t="shared" si="5"/>
        <v/>
      </c>
      <c r="AJ28" s="6" t="str">
        <f t="shared" si="6"/>
        <v/>
      </c>
      <c r="AK28" s="6" t="str">
        <v>IVDSH_DID_REA_VM2TO1_WHLINI_REQ</v>
      </c>
      <c r="AL28" s="6">
        <v>54</v>
      </c>
      <c r="AM28" s="6" t="str">
        <v>VM3TO2_USRRST_MASK</v>
      </c>
      <c r="AN28" s="6" t="str">
        <v>-</v>
      </c>
      <c r="AO28" s="6">
        <v>1</v>
      </c>
      <c r="AP28" s="6" t="str">
        <f>IF(AN28="R",MAX(AP$17:AP27,AO$15-1)+1,"")</f>
        <v/>
      </c>
      <c r="AQ28" s="6" t="str">
        <f t="shared" si="17"/>
        <v/>
      </c>
      <c r="AR28" s="6" t="str">
        <f t="shared" si="18"/>
        <v/>
      </c>
      <c r="AS28" s="6" t="str">
        <v>IVDSH_DID_REA_VM3TO2_USRRST_MASK</v>
      </c>
      <c r="AV28" s="6" t="s">
        <v>274</v>
      </c>
      <c r="AW28" s="6">
        <f>AW29+SUM(AW30:AW33)*2</f>
        <v>4</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x14ac:dyDescent="0.4">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4</v>
      </c>
      <c r="AX29" s="30" t="s">
        <v>267</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x14ac:dyDescent="0.4">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t="str">
        <f t="shared" si="15"/>
        <v/>
      </c>
      <c r="AB30" s="6" t="str">
        <f t="shared" si="16"/>
        <v/>
      </c>
      <c r="AC30" s="6" t="str">
        <v>IVDSH_DID_REA_FWUPXRES</v>
      </c>
      <c r="AD30" s="6">
        <v>37</v>
      </c>
      <c r="AE30" s="6" t="str">
        <v>VM2TO1_DMS1S02</v>
      </c>
      <c r="AF30" s="6" t="str">
        <v>-</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x14ac:dyDescent="0.4">
      <c r="E31" s="6">
        <f t="shared" si="12"/>
        <v>14</v>
      </c>
      <c r="J31" s="6" t="str">
        <f t="shared" si="19"/>
        <v/>
      </c>
      <c r="R31" s="6" t="str">
        <f>IF(P31="R",MAX(R$17:R30,Q$15-1)+1,"")</f>
        <v/>
      </c>
      <c r="S31" s="6" t="str">
        <f t="shared" si="13"/>
        <v/>
      </c>
      <c r="T31" s="6" t="str">
        <f t="shared" si="14"/>
        <v/>
      </c>
      <c r="V31" s="6">
        <v>52</v>
      </c>
      <c r="W31" s="6" t="str">
        <v>VM1TO3_NMDIAG</v>
      </c>
      <c r="X31" s="6" t="str">
        <v>-</v>
      </c>
      <c r="Y31" s="6">
        <v>1</v>
      </c>
      <c r="Z31" s="6" t="str">
        <f>IF(X31="R",MAX(Z$17:Z30,Y$15-1)+1,"")</f>
        <v/>
      </c>
      <c r="AA31" s="6" t="str">
        <f t="shared" si="15"/>
        <v/>
      </c>
      <c r="AB31" s="6" t="str">
        <f t="shared" si="16"/>
        <v/>
      </c>
      <c r="AC31" s="6" t="str">
        <v>IVDSH_DID_REA_VM1TO3_NMDIAG</v>
      </c>
      <c r="AD31" s="6">
        <v>38</v>
      </c>
      <c r="AE31" s="6" t="str">
        <v>VM2TO1_MET1S27</v>
      </c>
      <c r="AF31" s="6" t="str">
        <v>-</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x14ac:dyDescent="0.4">
      <c r="E32" s="6">
        <f t="shared" si="12"/>
        <v>15</v>
      </c>
      <c r="J32" s="6" t="str">
        <f t="shared" si="19"/>
        <v/>
      </c>
      <c r="R32" s="6" t="str">
        <f>IF(P32="R",MAX(R$17:R31,Q$15-1)+1,"")</f>
        <v/>
      </c>
      <c r="S32" s="6" t="str">
        <f t="shared" si="13"/>
        <v/>
      </c>
      <c r="T32" s="6" t="str">
        <f t="shared" si="14"/>
        <v/>
      </c>
      <c r="V32" s="6">
        <v>55</v>
      </c>
      <c r="W32" s="6" t="str">
        <v>VM1TO3_MAC_ADDRESS</v>
      </c>
      <c r="X32" s="6" t="str">
        <v>-</v>
      </c>
      <c r="Y32" s="6">
        <v>2</v>
      </c>
      <c r="Z32" s="6" t="str">
        <f>IF(X32="R",MAX(Z$17:Z31,Y$15-1)+1,"")</f>
        <v/>
      </c>
      <c r="AA32" s="6" t="str">
        <f t="shared" si="15"/>
        <v/>
      </c>
      <c r="AB32" s="6" t="str">
        <f t="shared" si="16"/>
        <v/>
      </c>
      <c r="AC32" s="6" t="str">
        <v>IVDSH_DID_REA_VM1TO3_MAC_ADDRESS</v>
      </c>
      <c r="AD32" s="6">
        <v>39</v>
      </c>
      <c r="AE32" s="6" t="str">
        <v>VM2TO1_MET1S28</v>
      </c>
      <c r="AF32" s="6" t="str">
        <v>-</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283</v>
      </c>
      <c r="N3" s="21" t="s">
        <v>205</v>
      </c>
      <c r="O3" s="21"/>
      <c r="BA3" s="21" t="s">
        <v>206</v>
      </c>
      <c r="BE3" s="21" t="s">
        <v>207</v>
      </c>
    </row>
    <row r="4" spans="1:84" x14ac:dyDescent="0.4">
      <c r="A4" s="6" t="s">
        <v>208</v>
      </c>
      <c r="B4" s="1" t="s">
        <v>284</v>
      </c>
      <c r="AY4" s="23"/>
      <c r="AZ4" s="13"/>
      <c r="BD4" s="13"/>
    </row>
    <row r="5" spans="1:84" x14ac:dyDescent="0.4">
      <c r="A5" s="6" t="s">
        <v>210</v>
      </c>
      <c r="B5" s="1" t="s">
        <v>285</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x14ac:dyDescent="0.4">
      <c r="F15" s="6">
        <f>IF(F17="",0,COUNTA(F$17:F529))</f>
        <v>16</v>
      </c>
      <c r="G15" s="6" t="s">
        <v>248</v>
      </c>
      <c r="J15" s="14">
        <v>0</v>
      </c>
      <c r="N15" s="9" t="str">
        <f>N1</f>
        <v>VM#0</v>
      </c>
      <c r="O15" s="6" t="s">
        <v>248</v>
      </c>
      <c r="Q15" s="6">
        <f>F15</f>
        <v>16</v>
      </c>
      <c r="R15" s="6">
        <f>COUNTIF(P17:P529,"R")</f>
        <v>0</v>
      </c>
      <c r="S15" s="6">
        <f>COUNTIF(R$15,"&lt;&gt;0")</f>
        <v>0</v>
      </c>
      <c r="T15" s="14">
        <v>0</v>
      </c>
      <c r="U15" s="6">
        <f>COUNTA(U$17:U529)</f>
        <v>4</v>
      </c>
      <c r="V15" s="9" t="str">
        <f>V1</f>
        <v>VM#1(MET)</v>
      </c>
      <c r="W15" s="6" t="str">
        <f>O15</f>
        <v>CPREQ_</v>
      </c>
      <c r="Y15" s="6">
        <f>Q15+R15</f>
        <v>16</v>
      </c>
      <c r="Z15" s="6">
        <f>COUNTIF(X17:X529,"R")</f>
        <v>0</v>
      </c>
      <c r="AA15" s="6">
        <f>S15+COUNTIF(Z$15,"&lt;&gt;0")</f>
        <v>0</v>
      </c>
      <c r="AB15" s="14">
        <v>0</v>
      </c>
      <c r="AC15" s="6">
        <f>COUNTA(AC$17:AC529)</f>
        <v>16</v>
      </c>
      <c r="AD15" s="9" t="str">
        <f>AD1</f>
        <v>VM#2(IVI)</v>
      </c>
      <c r="AE15" s="6" t="str">
        <f>W15</f>
        <v>CPREQ_</v>
      </c>
      <c r="AG15" s="6">
        <f>Y15+Z15</f>
        <v>16</v>
      </c>
      <c r="AH15" s="6">
        <f>COUNTIF(AF17:AF529,"R")</f>
        <v>17</v>
      </c>
      <c r="AI15" s="6">
        <f>AA15+COUNTIF(AH$15,"&lt;&gt;0")</f>
        <v>1</v>
      </c>
      <c r="AJ15" s="14">
        <v>0</v>
      </c>
      <c r="AK15" s="6">
        <f>COUNTA(AK$17:AK529)</f>
        <v>23</v>
      </c>
      <c r="AL15" s="9" t="str">
        <f>AL1</f>
        <v>VM#3(CEN)</v>
      </c>
      <c r="AM15" s="6" t="str">
        <f>AE15</f>
        <v>CPREQ_</v>
      </c>
      <c r="AO15" s="6">
        <f>AG15+AH15</f>
        <v>33</v>
      </c>
      <c r="AP15" s="6">
        <f>COUNTIF(AN17:AN529,"R")</f>
        <v>3</v>
      </c>
      <c r="AQ15" s="6">
        <f>AI15+COUNTIF(AP$15,"&lt;&gt;0")</f>
        <v>2</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32">IFERROR(_xlfn._xlws.FILTER('Inter-VM Data Table'!$A2:$A901,INDEX('Inter-VM Data Table'!2:901,,MATCH(B3,'Inter-VM Data Table'!1:1,0))="T"),"")</f>
        <v>1</v>
      </c>
      <c r="G17" s="6" t="str" cm="1">
        <f t="array" ref="G17:G32">IFERROR(_xlfn._xlws.FILTER('Inter-VM Data Table'!$D2:$D901,INDEX('Inter-VM Data Table'!2:901,,MATCH(B3,'Inter-VM Data Table'!1:1,0))="T"),"")</f>
        <v>VM1TO3_STBY</v>
      </c>
      <c r="H17" s="6" t="str" cm="1">
        <f t="array" ref="H17:H32">IFERROR(_xlfn._xlws.FILTER(INDEX('Inter-VM Data Table'!2:901,,MATCH($B$3,'Inter-VM Data Table'!1:1,0)),INDEX('Inter-VM Data Table'!2:901,,MATCH(B3,'Inter-VM Data Table'!1:1,0))="T"),"")</f>
        <v>T</v>
      </c>
      <c r="I17" s="6" cm="1">
        <f t="array" ref="I17:I32">IFERROR(ROUNDDOWN(     (_xlfn._xlws.FILTER('Inter-VM Data Table'!$I2:$I901,INDEX('Inter-VM Data Table'!2:901,,MATCH(B3,'Inter-VM Data Table'!1:1,0))="T")+3)/4,    0       ),"")</f>
        <v>1</v>
      </c>
      <c r="J17" s="6">
        <v>0</v>
      </c>
      <c r="K17" s="6" t="str" cm="1">
        <f t="array" ref="K17:K32">IF(_xlfn.ANCHORARRAY(G17)=0,K1&amp;G15&amp;TEXT(_xlfn.ANCHORARRAY(F17),"000"),K1&amp;_xlfn.ANCHORARRAY(G17))</f>
        <v>IVDSH_DID_WRI_VM1TO3_STBY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T</v>
      </c>
      <c r="Y17" s="6" cm="1">
        <f t="array" ref="Y17:Y32">IFERROR(ROUNDDOWN(     (_xlfn._xlws.FILTER('Inter-VM Data Table'!$I2:$I901,INDEX('Inter-VM Data Table'!2:901,,MATCH(V1,'Inter-VM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v>
      </c>
      <c r="AG17" s="6" cm="1">
        <f t="array" ref="AG17:AG39">IFERROR(ROUNDDOWN(     (_xlfn._xlws.FILTER('Inter-VM Data Table'!$I2:$I901,INDEX('Inter-VM Data Table'!2:901,,MATCH(AD1,'Inter-VM Data Table'!1:1,0))="T")+3)/4,      0),"")</f>
        <v>1</v>
      </c>
      <c r="AH17" s="6" t="str">
        <f>IF(AF17="R",AG$15+0,"")</f>
        <v/>
      </c>
      <c r="AI17" s="6">
        <f>IF(AH$15=0,"",AA15)</f>
        <v>0</v>
      </c>
      <c r="AJ17" s="6">
        <f>IF(AH$15=0,"",AB$15)</f>
        <v>0</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v>
      </c>
      <c r="AO17" s="6" cm="1">
        <f t="array" ref="AO17:AO28">IFERROR(ROUNDDOWN(     (_xlfn._xlws.FILTER('Inter-VM Data Table'!$I2:$I901,INDEX('Inter-VM Data Table'!2:901,,MATCH(AL1,'Inter-VM Data Table'!1:1,0))="T")+3)/4,      0),"")</f>
        <v>1</v>
      </c>
      <c r="AP17" s="6" t="str">
        <f>IF(AN17="R",AO$15+0,"")</f>
        <v/>
      </c>
      <c r="AQ17" s="6">
        <f>IF(AP$15=0,"",AI15)</f>
        <v>1</v>
      </c>
      <c r="AR17" s="6">
        <f>IF(AP$15=0,"",AJ$15)</f>
        <v>0</v>
      </c>
      <c r="AS17" s="6" t="str" cm="1">
        <f t="array" ref="AS17:AS28">IF(_xlfn.ANCHORARRAY(AM17)=0,AS1&amp;AM15&amp;TEXT(_xlfn.ANCHORARRAY(AL17),"000"),AS1&amp;_xlfn.ANCHORARRAY(AM17))</f>
        <v>IVDSH_DID_REA_VM3TO2_SIPERR_INF</v>
      </c>
      <c r="AV17" s="6" t="s">
        <v>258</v>
      </c>
      <c r="AW17" s="6">
        <f>F15</f>
        <v>16</v>
      </c>
      <c r="BA17" s="12" t="s">
        <v>259</v>
      </c>
      <c r="BB17" s="11">
        <f>AW17</f>
        <v>16</v>
      </c>
      <c r="BD17" s="27" t="s">
        <v>260</v>
      </c>
      <c r="BE17" s="11" t="str">
        <f t="shared" ref="BE17:BE80" si="0">IF(F17="","","#define "&amp;K17&amp;REPT(" ",41-LEN(K17))&amp;"("&amp;E17&amp;"U)")</f>
        <v>#define IVDSH_DID_WRI_VM1TO3_STBY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IVDSH_DID_WRI_VM1TO3_STBY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x14ac:dyDescent="0.4">
      <c r="E18" s="6">
        <f>E17+1</f>
        <v>1</v>
      </c>
      <c r="F18" s="6">
        <v>3</v>
      </c>
      <c r="G18" s="6" t="str">
        <v>VM1TO2_TIMOFST</v>
      </c>
      <c r="H18" s="6" t="str">
        <v>T</v>
      </c>
      <c r="I18" s="6">
        <v>1</v>
      </c>
      <c r="J18" s="6">
        <f>IF(F18="","",I17+J17)</f>
        <v>1</v>
      </c>
      <c r="K18" s="6" t="str">
        <v>IVDSH_DID_WRI_VM1TO2_TIMOFST</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T</v>
      </c>
      <c r="Y18" s="6">
        <v>1</v>
      </c>
      <c r="Z18" s="6" t="str">
        <f>IF(X18="R",MAX(Z$17:Z17,Y$15-1)+1,"")</f>
        <v/>
      </c>
      <c r="AA18" s="6" t="str">
        <f>IF(OR(Z$15=0,V18=""),"",AA17)</f>
        <v/>
      </c>
      <c r="AB18" s="6" t="str">
        <f>IF(OR(V18="",Z$15=0),"",AB17+Y17)</f>
        <v/>
      </c>
      <c r="AC18" s="6" t="str">
        <v>IVDSH_DID_REA_VM1TO2_TIMOFST</v>
      </c>
      <c r="AD18" s="6">
        <v>6</v>
      </c>
      <c r="AE18" s="6" t="str">
        <v>VM2TO1_TIMOFST</v>
      </c>
      <c r="AF18" s="6" t="str">
        <v>R</v>
      </c>
      <c r="AG18" s="6">
        <v>1</v>
      </c>
      <c r="AH18" s="6">
        <f>IF(AF18="R",MAX(AH$17:AH17,AG$15-1)+1,"")</f>
        <v>16</v>
      </c>
      <c r="AI18" s="6">
        <f t="shared" ref="AI18:AI81" si="5">IF(OR(AH$15=0,AD18=""),"",AI17)</f>
        <v>0</v>
      </c>
      <c r="AJ18" s="6">
        <f t="shared" ref="AJ18:AJ81" si="6">IF(OR(AD18="",AH$15=0),"",AJ17+AG17)</f>
        <v>1</v>
      </c>
      <c r="AK18" s="6" t="str">
        <v>IVDSH_DID_REA_VM2TO1_TIMOFST</v>
      </c>
      <c r="AL18" s="6">
        <v>5</v>
      </c>
      <c r="AM18" s="6" t="str">
        <v>VM3TO2_OTA_OFFSTS</v>
      </c>
      <c r="AN18" s="6" t="str">
        <v>-</v>
      </c>
      <c r="AO18" s="6">
        <v>1</v>
      </c>
      <c r="AP18" s="6" t="str">
        <f>IF(AN18="R",MAX(AP$17:AP17,AO$15-1)+1,"")</f>
        <v/>
      </c>
      <c r="AQ18" s="6">
        <f>IF(OR(AP$15=0,AL18=""),"",AQ17)</f>
        <v>1</v>
      </c>
      <c r="AR18" s="6">
        <f>IF(OR(AL18="",AP$15=0),"",AR17+AO17)</f>
        <v>1</v>
      </c>
      <c r="AS18" s="6" t="str">
        <v>IVDSH_DID_REA_VM3TO2_OTA_OFFSTS</v>
      </c>
      <c r="AV18" s="6" t="s">
        <v>261</v>
      </c>
      <c r="AW18" s="6">
        <f>R15+Z15+AH15+AP15</f>
        <v>20</v>
      </c>
      <c r="BA18" s="12" t="s">
        <v>262</v>
      </c>
      <c r="BB18" s="11">
        <f>AW18</f>
        <v>20</v>
      </c>
      <c r="BE18" s="11" t="str">
        <f t="shared" si="0"/>
        <v>#define IVDSH_DID_WRI_VM1TO2_TIMOFST             (1U)</v>
      </c>
      <c r="BF18" s="11" t="str">
        <f t="shared" si="1"/>
        <v/>
      </c>
      <c r="BG18" s="11" t="str">
        <f t="shared" si="2"/>
        <v/>
      </c>
      <c r="BH18" s="11" t="str">
        <f t="shared" si="3"/>
        <v>#define IVDSH_DID_REA_VM2TO1_TIMOFST             (16U)</v>
      </c>
      <c r="BI18" s="11" t="str">
        <f t="shared" si="4"/>
        <v/>
      </c>
      <c r="BJ18" s="11"/>
      <c r="BK18" s="11" t="str">
        <f t="shared" ref="BK18:BK81" si="7">IF(F18="","","    {(U2)"&amp;J18&amp;"U,"&amp;REPT(" ",9-LEN(J18))&amp;"(U2)"&amp;I18&amp;"U,"&amp;REPT(" ",10-LEN(I18))&amp;"(U2)IVDSH_FQ_CH_WRI  },     /* "&amp;K18&amp;REPT(" ",32-LEN(K18))&amp;"*/")</f>
        <v xml:space="preserve">    {(U2)1U,        (U2)1U,         (U2)IVDSH_FQ_CH_WRI  },     /* IVDSH_DID_WRI_VM1TO2_TIMOFST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IVDSH_DID_REA_VM2TO1_TIMOFST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x14ac:dyDescent="0.4">
      <c r="E19" s="6">
        <f t="shared" ref="E19:E82" si="12">E18+1</f>
        <v>2</v>
      </c>
      <c r="F19" s="6">
        <v>7</v>
      </c>
      <c r="G19" s="6" t="str">
        <v>VM1TO2_TIMFMT</v>
      </c>
      <c r="H19" s="6" t="str">
        <v>T</v>
      </c>
      <c r="I19" s="6">
        <v>1</v>
      </c>
      <c r="J19" s="6">
        <f>IF(F19="","",I18+J18)</f>
        <v>2</v>
      </c>
      <c r="K19" s="6" t="str">
        <v>IVDSH_DID_WRI_VM1TO2_TIMFMT</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T</v>
      </c>
      <c r="Y19" s="6">
        <v>1</v>
      </c>
      <c r="Z19" s="6" t="str">
        <f>IF(X19="R",MAX(Z$17:Z18,Y$15-1)+1,"")</f>
        <v/>
      </c>
      <c r="AA19" s="6" t="str">
        <f t="shared" ref="AA19:AA82" si="15">IF(OR(Z$15=0,V19=""),"",AA18)</f>
        <v/>
      </c>
      <c r="AB19" s="6" t="str">
        <f t="shared" ref="AB19:AB82" si="16">IF(OR(V19="",Z$15=0),"",AB18+Y18)</f>
        <v/>
      </c>
      <c r="AC19" s="6" t="str">
        <v>IVDSH_DID_REA_VM1TO2_TIMFMT</v>
      </c>
      <c r="AD19" s="6">
        <v>8</v>
      </c>
      <c r="AE19" s="6" t="str">
        <v>VM2TO1_TIMFMT</v>
      </c>
      <c r="AF19" s="6" t="str">
        <v>R</v>
      </c>
      <c r="AG19" s="6">
        <v>1</v>
      </c>
      <c r="AH19" s="6">
        <f>IF(AF19="R",MAX(AH$17:AH18,AG$15-1)+1,"")</f>
        <v>17</v>
      </c>
      <c r="AI19" s="6">
        <f t="shared" si="5"/>
        <v>0</v>
      </c>
      <c r="AJ19" s="6">
        <f t="shared" si="6"/>
        <v>2</v>
      </c>
      <c r="AK19" s="6" t="str">
        <v>IVDSH_DID_REA_VM2TO1_TIMFMT</v>
      </c>
      <c r="AL19" s="6">
        <v>24</v>
      </c>
      <c r="AM19" s="6" t="str">
        <v>VM3TO2_BOOTLOG_INF</v>
      </c>
      <c r="AN19" s="6" t="str">
        <v>-</v>
      </c>
      <c r="AO19" s="6">
        <v>1</v>
      </c>
      <c r="AP19" s="6" t="str">
        <f>IF(AN19="R",MAX(AP$17:AP18,AO$15-1)+1,"")</f>
        <v/>
      </c>
      <c r="AQ19" s="6">
        <f t="shared" ref="AQ19:AQ82" si="17">IF(OR(AP$15=0,AL19=""),"",AQ18)</f>
        <v>1</v>
      </c>
      <c r="AR19" s="6">
        <f t="shared" ref="AR19:AR82" si="18">IF(OR(AL19="",AP$15=0),"",AR18+AO18)</f>
        <v>2</v>
      </c>
      <c r="AS19" s="6" t="str">
        <v>IVDSH_DID_REA_VM3TO2_BOOTLOG_INF</v>
      </c>
      <c r="BA19" s="12" t="s">
        <v>263</v>
      </c>
      <c r="BB19" s="11">
        <f>AW20</f>
        <v>3</v>
      </c>
      <c r="BE19" s="11" t="str">
        <f t="shared" si="0"/>
        <v>#define IVDSH_DID_WRI_VM1TO2_TIMFMT              (2U)</v>
      </c>
      <c r="BF19" s="11" t="str">
        <f t="shared" si="1"/>
        <v/>
      </c>
      <c r="BG19" s="11" t="str">
        <f t="shared" si="2"/>
        <v/>
      </c>
      <c r="BH19" s="11" t="str">
        <f t="shared" si="3"/>
        <v>#define IVDSH_DID_REA_VM2TO1_TIMFMT              (17U)</v>
      </c>
      <c r="BI19" s="11" t="str">
        <f t="shared" si="4"/>
        <v/>
      </c>
      <c r="BJ19" s="11"/>
      <c r="BK19" s="11" t="str">
        <f t="shared" si="7"/>
        <v xml:space="preserve">    {(U2)2U,        (U2)1U,         (U2)IVDSH_FQ_CH_WRI  },     /* IVDSH_DID_WRI_VM1TO2_TIMFMT     */</v>
      </c>
      <c r="BL19" s="11" t="str">
        <f t="shared" si="8"/>
        <v/>
      </c>
      <c r="BM19" s="11" t="str">
        <f t="shared" si="9"/>
        <v/>
      </c>
      <c r="BN19" s="11" t="str">
        <f t="shared" si="10"/>
        <v xml:space="preserve">    {(U2)2U,        (U2)1U,         (U2)IVDSH_FQ_CH_REA_0},     /* IVDSH_DID_REA_VM2TO1_TIMFMT     */</v>
      </c>
      <c r="BO19" s="11" t="str">
        <f t="shared" si="11"/>
        <v/>
      </c>
      <c r="BP19" s="11" t="str">
        <v>#define IVDSH_FQ_CH_REA_0                        (0U)</v>
      </c>
      <c r="BQ19" s="11" t="str">
        <v>#define IVDSH_WA_NWORD_REA_0                     (24U)</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11</v>
      </c>
      <c r="G20" s="6" t="str">
        <v>VM1TO2_CAL</v>
      </c>
      <c r="H20" s="6" t="str">
        <v>T</v>
      </c>
      <c r="I20" s="6">
        <v>1</v>
      </c>
      <c r="J20" s="6">
        <f t="shared" ref="J20:J83" si="19">IF(F20="","",I19+J19)</f>
        <v>3</v>
      </c>
      <c r="K20" s="6" t="str">
        <v>IVDSH_DID_WRI_VM1TO2_CAL</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T</v>
      </c>
      <c r="Y20" s="6">
        <v>1</v>
      </c>
      <c r="Z20" s="6" t="str">
        <f>IF(X20="R",MAX(Z$17:Z19,Y$15-1)+1,"")</f>
        <v/>
      </c>
      <c r="AA20" s="6" t="str">
        <f t="shared" si="15"/>
        <v/>
      </c>
      <c r="AB20" s="6" t="str">
        <f t="shared" si="16"/>
        <v/>
      </c>
      <c r="AC20" s="6" t="str">
        <v>IVDSH_DID_REA_VM1TO2_CAL</v>
      </c>
      <c r="AD20" s="6">
        <v>9</v>
      </c>
      <c r="AE20" s="6" t="str">
        <v>VM2TO1_DSPTIM</v>
      </c>
      <c r="AF20" s="6" t="str">
        <v>R</v>
      </c>
      <c r="AG20" s="6">
        <v>1</v>
      </c>
      <c r="AH20" s="6">
        <f>IF(AF20="R",MAX(AH$17:AH19,AG$15-1)+1,"")</f>
        <v>18</v>
      </c>
      <c r="AI20" s="6">
        <f t="shared" si="5"/>
        <v>0</v>
      </c>
      <c r="AJ20" s="6">
        <f t="shared" si="6"/>
        <v>3</v>
      </c>
      <c r="AK20" s="6" t="str">
        <v>IVDSH_DID_REA_VM2TO1_DSPTIM</v>
      </c>
      <c r="AL20" s="6">
        <v>26</v>
      </c>
      <c r="AM20" s="6" t="str">
        <v>VM3TO12_RESTART</v>
      </c>
      <c r="AN20" s="6" t="str">
        <v>R</v>
      </c>
      <c r="AO20" s="6">
        <v>1</v>
      </c>
      <c r="AP20" s="6">
        <f>IF(AN20="R",MAX(AP$17:AP19,AO$15-1)+1,"")</f>
        <v>33</v>
      </c>
      <c r="AQ20" s="6">
        <f t="shared" si="17"/>
        <v>1</v>
      </c>
      <c r="AR20" s="6">
        <f t="shared" si="18"/>
        <v>3</v>
      </c>
      <c r="AS20" s="6" t="str">
        <v>IVDSH_DID_REA_VM3TO12_RESTART</v>
      </c>
      <c r="AV20" s="6" t="s">
        <v>264</v>
      </c>
      <c r="AW20" s="6">
        <f>MAX(AW22:AW26)+1</f>
        <v>3</v>
      </c>
      <c r="BA20" s="12" t="s">
        <v>265</v>
      </c>
      <c r="BB20" s="11">
        <f>AW21</f>
        <v>2</v>
      </c>
      <c r="BE20" s="11" t="str">
        <f t="shared" si="0"/>
        <v>#define IVDSH_DID_WRI_VM1TO2_CAL                 (3U)</v>
      </c>
      <c r="BF20" s="11" t="str">
        <f t="shared" si="1"/>
        <v/>
      </c>
      <c r="BG20" s="11" t="str">
        <f t="shared" si="2"/>
        <v/>
      </c>
      <c r="BH20" s="11" t="str">
        <f t="shared" si="3"/>
        <v>#define IVDSH_DID_REA_VM2TO1_DSPTIM              (18U)</v>
      </c>
      <c r="BI20" s="11" t="str">
        <f t="shared" si="4"/>
        <v>#define IVDSH_DID_REA_VM3TO12_RESTART            (33U)</v>
      </c>
      <c r="BJ20" s="11"/>
      <c r="BK20" s="11" t="str">
        <f t="shared" si="7"/>
        <v xml:space="preserve">    {(U2)3U,        (U2)1U,         (U2)IVDSH_FQ_CH_WRI  },     /* IVDSH_DID_WRI_VM1TO2_CAL        */</v>
      </c>
      <c r="BL20" s="11" t="str">
        <f t="shared" si="8"/>
        <v/>
      </c>
      <c r="BM20" s="11" t="str">
        <f t="shared" si="9"/>
        <v/>
      </c>
      <c r="BN20" s="11" t="str">
        <f t="shared" si="10"/>
        <v xml:space="preserve">    {(U2)3U,        (U2)1U,         (U2)IVDSH_FQ_CH_REA_0},     /* IVDSH_DID_REA_VM2TO1_DSPTIM     */</v>
      </c>
      <c r="BO20" s="11" t="str">
        <f t="shared" si="11"/>
        <v xml:space="preserve">    {(U2)3U,        (U2)1U,         (U2)IVDSH_FQ_CH_REA_1},     /* IVDSH_DID_REA_VM3TO12_RESTART   */</v>
      </c>
      <c r="BP20" s="11" t="str">
        <v>#define IVDSH_FQ_CH_REA_1                        (1U)</v>
      </c>
      <c r="BQ20" s="11" t="str">
        <v>#define IVDSH_WA_NWORD_REA_1                     (12U)</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13</v>
      </c>
      <c r="G21" s="6" t="str">
        <v>VM1TO2_CALDEF</v>
      </c>
      <c r="H21" s="6" t="str">
        <v>T</v>
      </c>
      <c r="I21" s="6">
        <v>1</v>
      </c>
      <c r="J21" s="6">
        <f t="shared" si="19"/>
        <v>4</v>
      </c>
      <c r="K21" s="6" t="str">
        <v>IVDSH_DID_WRI_VM1TO2_CALDEF</v>
      </c>
      <c r="R21" s="6" t="str">
        <f>IF(P21="R",MAX(R$17:R20,Q$15-1)+1,"")</f>
        <v/>
      </c>
      <c r="S21" s="6" t="str">
        <f t="shared" si="13"/>
        <v/>
      </c>
      <c r="T21" s="6" t="str">
        <f t="shared" si="14"/>
        <v/>
      </c>
      <c r="V21" s="6">
        <v>13</v>
      </c>
      <c r="W21" s="6" t="str">
        <v>VM1TO2_CALDEF</v>
      </c>
      <c r="X21" s="6" t="str">
        <v>T</v>
      </c>
      <c r="Y21" s="6">
        <v>1</v>
      </c>
      <c r="Z21" s="6" t="str">
        <f>IF(X21="R",MAX(Z$17:Z20,Y$15-1)+1,"")</f>
        <v/>
      </c>
      <c r="AA21" s="6" t="str">
        <f t="shared" si="15"/>
        <v/>
      </c>
      <c r="AB21" s="6" t="str">
        <f t="shared" si="16"/>
        <v/>
      </c>
      <c r="AC21" s="6" t="str">
        <v>IVDSH_DID_REA_VM1TO2_CALDEF</v>
      </c>
      <c r="AD21" s="6">
        <v>10</v>
      </c>
      <c r="AE21" s="6" t="str">
        <v>VM2TO1_DSPCAL</v>
      </c>
      <c r="AF21" s="6" t="str">
        <v>R</v>
      </c>
      <c r="AG21" s="6">
        <v>1</v>
      </c>
      <c r="AH21" s="6">
        <f>IF(AF21="R",MAX(AH$17:AH20,AG$15-1)+1,"")</f>
        <v>19</v>
      </c>
      <c r="AI21" s="6">
        <f t="shared" si="5"/>
        <v>0</v>
      </c>
      <c r="AJ21" s="6">
        <f t="shared" si="6"/>
        <v>4</v>
      </c>
      <c r="AK21" s="6" t="str">
        <v>IVDSH_DID_REA_VM2TO1_DSPCAL</v>
      </c>
      <c r="AL21" s="6">
        <v>29</v>
      </c>
      <c r="AM21" s="6" t="str">
        <v>VM3TO2_BOOT_CNT</v>
      </c>
      <c r="AN21" s="6" t="str">
        <v>-</v>
      </c>
      <c r="AO21" s="6">
        <v>1</v>
      </c>
      <c r="AP21" s="6" t="str">
        <f>IF(AN21="R",MAX(AP$17:AP20,AO$15-1)+1,"")</f>
        <v/>
      </c>
      <c r="AQ21" s="6">
        <f t="shared" si="17"/>
        <v>1</v>
      </c>
      <c r="AR21" s="6">
        <f t="shared" si="18"/>
        <v>4</v>
      </c>
      <c r="AS21" s="6" t="str">
        <v>IVDSH_DID_REA_VM3TO2_BOOT_CNT</v>
      </c>
      <c r="AV21" s="6" t="s">
        <v>266</v>
      </c>
      <c r="AW21" s="6">
        <f>COUNTIF(AW22:AW25,"&gt;=0")</f>
        <v>2</v>
      </c>
      <c r="AX21" s="30" t="s">
        <v>267</v>
      </c>
      <c r="BA21" s="12" t="s">
        <v>268</v>
      </c>
      <c r="BB21" s="11">
        <f>AW29</f>
        <v>19</v>
      </c>
      <c r="BE21" s="11" t="str">
        <f t="shared" si="0"/>
        <v>#define IVDSH_DID_WRI_VM1TO2_CALDEF              (4U)</v>
      </c>
      <c r="BF21" s="11" t="str">
        <f t="shared" si="1"/>
        <v/>
      </c>
      <c r="BG21" s="11" t="str">
        <f t="shared" si="2"/>
        <v/>
      </c>
      <c r="BH21" s="11" t="str">
        <f t="shared" si="3"/>
        <v>#define IVDSH_DID_REA_VM2TO1_DSPCAL              (19U)</v>
      </c>
      <c r="BI21" s="11" t="str">
        <f t="shared" si="4"/>
        <v/>
      </c>
      <c r="BJ21" s="11"/>
      <c r="BK21" s="11" t="str">
        <f t="shared" si="7"/>
        <v xml:space="preserve">    {(U2)4U,        (U2)1U,         (U2)IVDSH_FQ_CH_WRI  },     /* IVDSH_DID_WRI_VM1TO2_CALDEF     */</v>
      </c>
      <c r="BL21" s="11" t="str">
        <f t="shared" si="8"/>
        <v/>
      </c>
      <c r="BM21" s="11" t="str">
        <f t="shared" si="9"/>
        <v/>
      </c>
      <c r="BN21" s="11" t="str">
        <f t="shared" si="10"/>
        <v xml:space="preserve">    {(U2)4U,        (U2)1U,         (U2)IVDSH_FQ_CH_REA_0},     /* IVDSH_DID_REA_VM2TO1_DSPCAL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x14ac:dyDescent="0.4">
      <c r="E22" s="6">
        <f t="shared" si="12"/>
        <v>5</v>
      </c>
      <c r="F22" s="6">
        <v>14</v>
      </c>
      <c r="G22" s="6" t="str">
        <v>VM1TO2_CALMIN</v>
      </c>
      <c r="H22" s="6" t="str">
        <v>T</v>
      </c>
      <c r="I22" s="6">
        <v>1</v>
      </c>
      <c r="J22" s="6">
        <f t="shared" si="19"/>
        <v>5</v>
      </c>
      <c r="K22" s="6" t="str">
        <v>IVDSH_DID_WRI_VM1TO2_CALMIN</v>
      </c>
      <c r="R22" s="6" t="str">
        <f>IF(P22="R",MAX(R$17:R21,Q$15-1)+1,"")</f>
        <v/>
      </c>
      <c r="S22" s="6" t="str">
        <f t="shared" si="13"/>
        <v/>
      </c>
      <c r="T22" s="6" t="str">
        <f t="shared" si="14"/>
        <v/>
      </c>
      <c r="V22" s="6">
        <v>14</v>
      </c>
      <c r="W22" s="6" t="str">
        <v>VM1TO2_CALMIN</v>
      </c>
      <c r="X22" s="6" t="str">
        <v>T</v>
      </c>
      <c r="Y22" s="6">
        <v>1</v>
      </c>
      <c r="Z22" s="6" t="str">
        <f>IF(X22="R",MAX(Z$17:Z21,Y$15-1)+1,"")</f>
        <v/>
      </c>
      <c r="AA22" s="6" t="str">
        <f t="shared" si="15"/>
        <v/>
      </c>
      <c r="AB22" s="6" t="str">
        <f t="shared" si="16"/>
        <v/>
      </c>
      <c r="AC22" s="6" t="str">
        <v>IVDSH_DID_REA_VM1TO2_CALMIN</v>
      </c>
      <c r="AD22" s="6">
        <v>12</v>
      </c>
      <c r="AE22" s="6" t="str">
        <v>VM2TO1_CAL</v>
      </c>
      <c r="AF22" s="6" t="str">
        <v>R</v>
      </c>
      <c r="AG22" s="6">
        <v>1</v>
      </c>
      <c r="AH22" s="6">
        <f>IF(AF22="R",MAX(AH$17:AH21,AG$15-1)+1,"")</f>
        <v>20</v>
      </c>
      <c r="AI22" s="6">
        <f t="shared" si="5"/>
        <v>0</v>
      </c>
      <c r="AJ22" s="6">
        <f t="shared" si="6"/>
        <v>5</v>
      </c>
      <c r="AK22" s="6" t="str">
        <v>IVDSH_DID_REA_VM2TO1_CAL</v>
      </c>
      <c r="AL22" s="6">
        <v>30</v>
      </c>
      <c r="AM22" s="6" t="str">
        <v>VM3TO2_BOOT_TIME</v>
      </c>
      <c r="AN22" s="6" t="str">
        <v>-</v>
      </c>
      <c r="AO22" s="6">
        <v>1</v>
      </c>
      <c r="AP22" s="6" t="str">
        <f>IF(AN22="R",MAX(AP$17:AP21,AO$15-1)+1,"")</f>
        <v/>
      </c>
      <c r="AQ22" s="6">
        <f t="shared" si="17"/>
        <v>1</v>
      </c>
      <c r="AR22" s="6">
        <f t="shared" si="18"/>
        <v>5</v>
      </c>
      <c r="AS22" s="6" t="str">
        <v>IVDSH_DID_REA_VM3TO2_BOOT_TIME</v>
      </c>
      <c r="AV22" s="6" t="str">
        <f>"IVDSH_FQ_CH_REA_"&amp;COUNTIF(AW$22:AW22,"&gt;=0")-1</f>
        <v>IVDSH_FQ_CH_REA_-1</v>
      </c>
      <c r="AW22" s="6" t="str">
        <f>IF(AW30="","",COUNTIF(AW$30:AW30,"&gt;0")-1)</f>
        <v/>
      </c>
      <c r="AX22" s="31">
        <v>0</v>
      </c>
      <c r="BA22" s="12" t="s">
        <v>269</v>
      </c>
      <c r="BB22" s="11">
        <f>AW28</f>
        <v>91</v>
      </c>
      <c r="BE22" s="11" t="str">
        <f t="shared" si="0"/>
        <v>#define IVDSH_DID_WRI_VM1TO2_CALMIN              (5U)</v>
      </c>
      <c r="BF22" s="11" t="str">
        <f t="shared" si="1"/>
        <v/>
      </c>
      <c r="BG22" s="11" t="str">
        <f t="shared" si="2"/>
        <v/>
      </c>
      <c r="BH22" s="11" t="str">
        <f t="shared" si="3"/>
        <v>#define IVDSH_DID_REA_VM2TO1_CAL                 (20U)</v>
      </c>
      <c r="BI22" s="11" t="str">
        <f t="shared" si="4"/>
        <v/>
      </c>
      <c r="BJ22" s="11"/>
      <c r="BK22" s="11" t="str">
        <f t="shared" si="7"/>
        <v xml:space="preserve">    {(U2)5U,        (U2)1U,         (U2)IVDSH_FQ_CH_WRI  },     /* IVDSH_DID_WRI_VM1TO2_CALMIN     */</v>
      </c>
      <c r="BL22" s="11" t="str">
        <f t="shared" si="8"/>
        <v/>
      </c>
      <c r="BM22" s="11" t="str">
        <f t="shared" si="9"/>
        <v/>
      </c>
      <c r="BN22" s="11" t="str">
        <f t="shared" si="10"/>
        <v xml:space="preserve">    {(U2)5U,        (U2)1U,         (U2)IVDSH_FQ_CH_REA_0},     /* IVDSH_DID_REA_VM2TO1_CAL        */</v>
      </c>
      <c r="BO22" s="11" t="str">
        <f t="shared" si="11"/>
        <v/>
      </c>
      <c r="BP22" s="11"/>
      <c r="BQ22" s="11"/>
      <c r="BR22" s="28" t="str">
        <f>IF(AW36="","","    },")</f>
        <v xml:space="preserve">    },</v>
      </c>
      <c r="BS22" s="11" t="str">
        <f>IF(AW26&lt;&gt;"","    },","")</f>
        <v xml:space="preserve">    },</v>
      </c>
    </row>
    <row r="23" spans="5:71" x14ac:dyDescent="0.4">
      <c r="E23" s="6">
        <f t="shared" si="12"/>
        <v>6</v>
      </c>
      <c r="F23" s="6">
        <v>15</v>
      </c>
      <c r="G23" s="6" t="str">
        <v>VM1TO3_SPI_FAIL</v>
      </c>
      <c r="H23" s="6" t="str">
        <v>T</v>
      </c>
      <c r="I23" s="6">
        <v>1</v>
      </c>
      <c r="J23" s="6">
        <f t="shared" si="19"/>
        <v>6</v>
      </c>
      <c r="K23" s="6" t="str">
        <v>IVDSH_DID_WRI_VM1TO3_SPI_FAIL</v>
      </c>
      <c r="R23" s="6" t="str">
        <f>IF(P23="R",MAX(R$17:R22,Q$15-1)+1,"")</f>
        <v/>
      </c>
      <c r="S23" s="6" t="str">
        <f t="shared" si="13"/>
        <v/>
      </c>
      <c r="T23" s="6" t="str">
        <f t="shared" si="14"/>
        <v/>
      </c>
      <c r="V23" s="6">
        <v>15</v>
      </c>
      <c r="W23" s="6" t="str">
        <v>VM1TO3_SPI_FAIL</v>
      </c>
      <c r="X23" s="6" t="str">
        <v>T</v>
      </c>
      <c r="Y23" s="6">
        <v>1</v>
      </c>
      <c r="Z23" s="6" t="str">
        <f>IF(X23="R",MAX(Z$17:Z22,Y$15-1)+1,"")</f>
        <v/>
      </c>
      <c r="AA23" s="6" t="str">
        <f t="shared" si="15"/>
        <v/>
      </c>
      <c r="AB23" s="6" t="str">
        <f t="shared" si="16"/>
        <v/>
      </c>
      <c r="AC23" s="6" t="str">
        <v>IVDSH_DID_REA_VM1TO3_SPI_FAIL</v>
      </c>
      <c r="AD23" s="6">
        <v>16</v>
      </c>
      <c r="AE23" s="6" t="str">
        <v>VM2TO1_CAM_DIAP</v>
      </c>
      <c r="AF23" s="6" t="str">
        <v>R</v>
      </c>
      <c r="AG23" s="6">
        <v>1</v>
      </c>
      <c r="AH23" s="6">
        <f>IF(AF23="R",MAX(AH$17:AH22,AG$15-1)+1,"")</f>
        <v>21</v>
      </c>
      <c r="AI23" s="6">
        <f t="shared" si="5"/>
        <v>0</v>
      </c>
      <c r="AJ23" s="6">
        <f t="shared" si="6"/>
        <v>6</v>
      </c>
      <c r="AK23" s="6" t="str">
        <v>IVDSH_DID_REA_VM2TO1_CAM_DIAP</v>
      </c>
      <c r="AL23" s="6">
        <v>31</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270</v>
      </c>
      <c r="BB23" s="11" t="str">
        <f>IF(AW29&lt;&gt;0,"&amp;st_sp_IVDSH_FQ_CH[IVDSH_FQ_CH_WRI]","vdp_PTR_NA")</f>
        <v>&amp;st_sp_IVDSH_FQ_CH[IVDSH_FQ_CH_WRI]</v>
      </c>
      <c r="BE23" s="11" t="str">
        <f t="shared" si="0"/>
        <v>#define IVDSH_DID_WRI_VM1TO3_SPI_FAIL            (6U)</v>
      </c>
      <c r="BF23" s="11" t="str">
        <f t="shared" si="1"/>
        <v/>
      </c>
      <c r="BG23" s="11" t="str">
        <f t="shared" si="2"/>
        <v/>
      </c>
      <c r="BH23" s="11" t="str">
        <f t="shared" si="3"/>
        <v>#define IVDSH_DID_REA_VM2TO1_CAM_DIAP            (21U)</v>
      </c>
      <c r="BI23" s="11" t="str">
        <f t="shared" si="4"/>
        <v/>
      </c>
      <c r="BJ23" s="11"/>
      <c r="BK23" s="11" t="str">
        <f t="shared" si="7"/>
        <v xml:space="preserve">    {(U2)6U,        (U2)1U,         (U2)IVDSH_FQ_CH_WRI  },     /* IVDSH_DID_WRI_VM1TO3_SPI_FAIL   */</v>
      </c>
      <c r="BL23" s="11" t="str">
        <f t="shared" si="8"/>
        <v/>
      </c>
      <c r="BM23" s="11" t="str">
        <f t="shared" si="9"/>
        <v/>
      </c>
      <c r="BN23" s="11" t="str">
        <f t="shared" si="10"/>
        <v xml:space="preserve">    {(U2)6U,        (U2)1U,         (U2)IVDSH_FQ_CH_REA_0},     /* IVDSH_DID_REA_VM2TO1_CAM_DIAP   */</v>
      </c>
      <c r="BO23" s="11" t="str">
        <f t="shared" si="11"/>
        <v/>
      </c>
      <c r="BP23" s="11"/>
      <c r="BQ23" s="11"/>
      <c r="BR23" s="11" t="str">
        <f>IF(AW37="","","    /* IVDSH_FQ_CH_REA_1 */")</f>
        <v xml:space="preserve">    /* IVDSH_FQ_CH_REA_1 */</v>
      </c>
      <c r="BS23" s="11"/>
    </row>
    <row r="24" spans="5:71" x14ac:dyDescent="0.4">
      <c r="E24" s="6">
        <f t="shared" si="12"/>
        <v>7</v>
      </c>
      <c r="F24" s="6">
        <v>17</v>
      </c>
      <c r="G24" s="6" t="str">
        <v>VM1TO2_CAM_DIAP</v>
      </c>
      <c r="H24" s="6" t="str">
        <v>T</v>
      </c>
      <c r="I24" s="6">
        <v>1</v>
      </c>
      <c r="J24" s="6">
        <f t="shared" si="19"/>
        <v>7</v>
      </c>
      <c r="K24" s="6" t="str">
        <v>IVDSH_DID_WRI_VM1TO2_CAM_DIAP</v>
      </c>
      <c r="R24" s="6" t="str">
        <f>IF(P24="R",MAX(R$17:R23,Q$15-1)+1,"")</f>
        <v/>
      </c>
      <c r="S24" s="6" t="str">
        <f t="shared" si="13"/>
        <v/>
      </c>
      <c r="T24" s="6" t="str">
        <f t="shared" si="14"/>
        <v/>
      </c>
      <c r="V24" s="6">
        <v>17</v>
      </c>
      <c r="W24" s="6" t="str">
        <v>VM1TO2_CAM_DIAP</v>
      </c>
      <c r="X24" s="6" t="str">
        <v>T</v>
      </c>
      <c r="Y24" s="6">
        <v>1</v>
      </c>
      <c r="Z24" s="6" t="str">
        <f>IF(X24="R",MAX(Z$17:Z23,Y$15-1)+1,"")</f>
        <v/>
      </c>
      <c r="AA24" s="6" t="str">
        <f t="shared" si="15"/>
        <v/>
      </c>
      <c r="AB24" s="6" t="str">
        <f t="shared" si="16"/>
        <v/>
      </c>
      <c r="AC24" s="6" t="str">
        <v>IVDSH_DID_REA_VM1TO2_CAM_DIAP</v>
      </c>
      <c r="AD24" s="6">
        <v>23</v>
      </c>
      <c r="AE24" s="6" t="str">
        <v>VM2TO3_WHLINI_INF</v>
      </c>
      <c r="AF24" s="6" t="str">
        <v>-</v>
      </c>
      <c r="AG24" s="6">
        <v>1</v>
      </c>
      <c r="AH24" s="6" t="str">
        <f>IF(AF24="R",MAX(AH$17:AH23,AG$15-1)+1,"")</f>
        <v/>
      </c>
      <c r="AI24" s="6">
        <f t="shared" si="5"/>
        <v>0</v>
      </c>
      <c r="AJ24" s="6">
        <f t="shared" si="6"/>
        <v>7</v>
      </c>
      <c r="AK24" s="6" t="str">
        <v>IVDSH_DID_REA_VM2TO3_WHLINI_INF</v>
      </c>
      <c r="AL24" s="6">
        <v>49</v>
      </c>
      <c r="AM24" s="6" t="str">
        <v>VM3TO2_WHLINI_INF</v>
      </c>
      <c r="AN24" s="6" t="str">
        <v>-</v>
      </c>
      <c r="AO24" s="6">
        <v>1</v>
      </c>
      <c r="AP24" s="6" t="str">
        <f>IF(AN24="R",MAX(AP$17:AP23,AO$15-1)+1,"")</f>
        <v/>
      </c>
      <c r="AQ24" s="6">
        <f t="shared" si="17"/>
        <v>1</v>
      </c>
      <c r="AR24" s="6">
        <f t="shared" si="18"/>
        <v>7</v>
      </c>
      <c r="AS24" s="6" t="str">
        <v>IVDSH_DID_REA_VM3TO2_WHLINI_INF</v>
      </c>
      <c r="AV24" s="6" t="str">
        <f>"IVDSH_FQ_CH_REA_"&amp;COUNTIF(AW$22:AW24,"&gt;=0")-1</f>
        <v>IVDSH_FQ_CH_REA_0</v>
      </c>
      <c r="AW24" s="6">
        <f>IF(AW32="","",COUNTIF(AW$30:AW32,"&gt;0")-1)</f>
        <v>0</v>
      </c>
      <c r="AX24" s="31">
        <v>2</v>
      </c>
      <c r="BA24" s="12" t="s">
        <v>271</v>
      </c>
      <c r="BB24" s="11" t="str">
        <f>IF(AW21&lt;&gt;0,"&amp;st_sp_IVDSH_FQ_CH[IVDSH_FQ_CH_REA_0]","&amp;st_sp_IVDSH_FQ_CH[IVDSH_FQ_CH_WRI]")</f>
        <v>&amp;st_sp_IVDSH_FQ_CH[IVDSH_FQ_CH_REA_0]</v>
      </c>
      <c r="BE24" s="11" t="str">
        <f t="shared" si="0"/>
        <v>#define IVDSH_DID_WRI_VM1TO2_CAM_DIAP            (7U)</v>
      </c>
      <c r="BF24" s="11" t="str">
        <f t="shared" si="1"/>
        <v/>
      </c>
      <c r="BG24" s="11" t="str">
        <f t="shared" si="2"/>
        <v/>
      </c>
      <c r="BH24" s="11" t="str">
        <f t="shared" si="3"/>
        <v/>
      </c>
      <c r="BI24" s="11" t="str">
        <f t="shared" si="4"/>
        <v/>
      </c>
      <c r="BJ24" s="11"/>
      <c r="BK24" s="11" t="str">
        <f t="shared" si="7"/>
        <v xml:space="preserve">    {(U2)7U,        (U2)1U,         (U2)IVDSH_FQ_CH_WRI  },     /* IVDSH_DID_WRI_VM1TO2_CAM_DIAP   */</v>
      </c>
      <c r="BL24" s="11" t="str">
        <f t="shared" si="8"/>
        <v/>
      </c>
      <c r="BM24" s="11" t="str">
        <f t="shared" si="9"/>
        <v/>
      </c>
      <c r="BN24" s="11" t="str">
        <f t="shared" si="10"/>
        <v/>
      </c>
      <c r="BO24" s="11" t="str">
        <f t="shared" si="11"/>
        <v/>
      </c>
      <c r="BP24" s="11"/>
      <c r="BQ24" s="11"/>
      <c r="BR24" s="11" t="str">
        <f>IF(AW37="","","    {")</f>
        <v xml:space="preserve">    {</v>
      </c>
      <c r="BS24" s="11"/>
    </row>
    <row r="25" spans="5:71" x14ac:dyDescent="0.4">
      <c r="E25" s="6">
        <f t="shared" si="12"/>
        <v>8</v>
      </c>
      <c r="F25" s="6">
        <v>22</v>
      </c>
      <c r="G25" s="6" t="str">
        <v>VM1TO2_FLYNOP</v>
      </c>
      <c r="H25" s="6" t="str">
        <v>T</v>
      </c>
      <c r="I25" s="6">
        <v>1</v>
      </c>
      <c r="J25" s="6">
        <f t="shared" si="19"/>
        <v>8</v>
      </c>
      <c r="K25" s="6" t="str">
        <v>IVDSH_DID_WRI_VM1TO2_FLYNOP</v>
      </c>
      <c r="R25" s="6" t="str">
        <f>IF(P25="R",MAX(R$17:R24,Q$15-1)+1,"")</f>
        <v/>
      </c>
      <c r="S25" s="6" t="str">
        <f t="shared" si="13"/>
        <v/>
      </c>
      <c r="T25" s="6" t="str">
        <f t="shared" si="14"/>
        <v/>
      </c>
      <c r="V25" s="6">
        <v>22</v>
      </c>
      <c r="W25" s="6" t="str">
        <v>VM1TO2_FLYNOP</v>
      </c>
      <c r="X25" s="6" t="str">
        <v>T</v>
      </c>
      <c r="Y25" s="6">
        <v>1</v>
      </c>
      <c r="Z25" s="6" t="str">
        <f>IF(X25="R",MAX(Z$17:Z24,Y$15-1)+1,"")</f>
        <v/>
      </c>
      <c r="AA25" s="6" t="str">
        <f t="shared" si="15"/>
        <v/>
      </c>
      <c r="AB25" s="6" t="str">
        <f t="shared" si="16"/>
        <v/>
      </c>
      <c r="AC25" s="6" t="str">
        <v>IVDSH_DID_REA_VM1TO2_FLYNOP</v>
      </c>
      <c r="AD25" s="6">
        <v>27</v>
      </c>
      <c r="AE25" s="6" t="str">
        <v>VM2TO3_STRMODE</v>
      </c>
      <c r="AF25" s="6" t="str">
        <v>-</v>
      </c>
      <c r="AG25" s="6">
        <v>1</v>
      </c>
      <c r="AH25" s="6" t="str">
        <f>IF(AF25="R",MAX(AH$17:AH24,AG$15-1)+1,"")</f>
        <v/>
      </c>
      <c r="AI25" s="6">
        <f t="shared" si="5"/>
        <v>0</v>
      </c>
      <c r="AJ25" s="6">
        <f t="shared" si="6"/>
        <v>8</v>
      </c>
      <c r="AK25" s="6" t="str">
        <v>IVDSH_DID_REA_VM2TO3_STRMODE</v>
      </c>
      <c r="AL25" s="6">
        <v>50</v>
      </c>
      <c r="AM25" s="6" t="str">
        <v>VM3TO1_WHLINI_STA</v>
      </c>
      <c r="AN25" s="6" t="str">
        <v>R</v>
      </c>
      <c r="AO25" s="6">
        <v>1</v>
      </c>
      <c r="AP25" s="6">
        <f>IF(AN25="R",MAX(AP$17:AP24,AO$15-1)+1,"")</f>
        <v>34</v>
      </c>
      <c r="AQ25" s="6">
        <f t="shared" si="17"/>
        <v>1</v>
      </c>
      <c r="AR25" s="6">
        <f t="shared" si="18"/>
        <v>8</v>
      </c>
      <c r="AS25" s="6" t="str">
        <v>IVDSH_DID_REA_VM3TO1_WHLINI_STA</v>
      </c>
      <c r="AV25" s="6" t="str">
        <f>"IVDSH_FQ_CH_REA_"&amp;COUNTIF(AW$22:AW25,"&gt;=0")-1</f>
        <v>IVDSH_FQ_CH_REA_1</v>
      </c>
      <c r="AW25" s="6">
        <f>IF(AW33="","",COUNTIF(AW$30:AW33,"&gt;0")-1)</f>
        <v>1</v>
      </c>
      <c r="AX25" s="31">
        <v>3</v>
      </c>
      <c r="BA25" s="12" t="s">
        <v>272</v>
      </c>
      <c r="BB25" s="11" t="str">
        <f>B4</f>
        <v>"ehvm_cfg_pe1_vm0.h"</v>
      </c>
      <c r="BE25" s="11" t="str">
        <f t="shared" si="0"/>
        <v>#define IVDSH_DID_WRI_VM1TO2_FLYNOP              (8U)</v>
      </c>
      <c r="BF25" s="11" t="str">
        <f t="shared" si="1"/>
        <v/>
      </c>
      <c r="BG25" s="11" t="str">
        <f t="shared" si="2"/>
        <v/>
      </c>
      <c r="BH25" s="11" t="str">
        <f t="shared" si="3"/>
        <v/>
      </c>
      <c r="BI25" s="11" t="str">
        <f t="shared" si="4"/>
        <v>#define IVDSH_DID_REA_VM3TO1_WHLINI_STA          (34U)</v>
      </c>
      <c r="BJ25" s="11"/>
      <c r="BK25" s="11" t="str">
        <f t="shared" si="7"/>
        <v xml:space="preserve">    {(U2)8U,        (U2)1U,         (U2)IVDSH_FQ_CH_WRI  },     /* IVDSH_DID_WRI_VM1TO2_FLYNOP     */</v>
      </c>
      <c r="BL25" s="11" t="str">
        <f t="shared" si="8"/>
        <v/>
      </c>
      <c r="BM25" s="11" t="str">
        <f t="shared" si="9"/>
        <v/>
      </c>
      <c r="BN25" s="11" t="str">
        <f t="shared" si="10"/>
        <v/>
      </c>
      <c r="BO25" s="11" t="str">
        <f t="shared" si="11"/>
        <v xml:space="preserve">    {(U2)8U,        (U2)1U,         (U2)IVDSH_FQ_CH_REA_1},     /* IVDSH_DID_REA_VM3TO1_WHLINI_STA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25</v>
      </c>
      <c r="G26" s="6" t="str">
        <v>VM1TO23_FSLP</v>
      </c>
      <c r="H26" s="6" t="str">
        <v>T</v>
      </c>
      <c r="I26" s="6">
        <v>1</v>
      </c>
      <c r="J26" s="6">
        <f t="shared" si="19"/>
        <v>9</v>
      </c>
      <c r="K26" s="6" t="str">
        <v>IVDSH_DID_WRI_VM1TO23_FSLP</v>
      </c>
      <c r="R26" s="6" t="str">
        <f>IF(P26="R",MAX(R$17:R25,Q$15-1)+1,"")</f>
        <v/>
      </c>
      <c r="S26" s="6" t="str">
        <f t="shared" si="13"/>
        <v/>
      </c>
      <c r="T26" s="6" t="str">
        <f t="shared" si="14"/>
        <v/>
      </c>
      <c r="V26" s="6">
        <v>25</v>
      </c>
      <c r="W26" s="6" t="str">
        <v>VM1TO23_FSLP</v>
      </c>
      <c r="X26" s="6" t="str">
        <v>T</v>
      </c>
      <c r="Y26" s="6">
        <v>1</v>
      </c>
      <c r="Z26" s="6" t="str">
        <f>IF(X26="R",MAX(Z$17:Z25,Y$15-1)+1,"")</f>
        <v/>
      </c>
      <c r="AA26" s="6" t="str">
        <f t="shared" si="15"/>
        <v/>
      </c>
      <c r="AB26" s="6" t="str">
        <f t="shared" si="16"/>
        <v/>
      </c>
      <c r="AC26" s="6" t="str">
        <v>IVDSH_DID_REA_VM1TO23_FSLP</v>
      </c>
      <c r="AD26" s="6">
        <v>28</v>
      </c>
      <c r="AE26" s="6" t="str">
        <v>VM2TO3_OPESTS</v>
      </c>
      <c r="AF26" s="6" t="str">
        <v>-</v>
      </c>
      <c r="AG26" s="6">
        <v>1</v>
      </c>
      <c r="AH26" s="6" t="str">
        <f>IF(AF26="R",MAX(AH$17:AH25,AG$15-1)+1,"")</f>
        <v/>
      </c>
      <c r="AI26" s="6">
        <f t="shared" si="5"/>
        <v>0</v>
      </c>
      <c r="AJ26" s="6">
        <f t="shared" si="6"/>
        <v>9</v>
      </c>
      <c r="AK26" s="6" t="str">
        <v>IVDSH_DID_REA_VM2TO3_OPESTS</v>
      </c>
      <c r="AL26" s="6">
        <v>51</v>
      </c>
      <c r="AM26" s="6" t="str">
        <v>VM3TO1_SOC_POW_STS</v>
      </c>
      <c r="AN26" s="6" t="str">
        <v>R</v>
      </c>
      <c r="AO26" s="6">
        <v>1</v>
      </c>
      <c r="AP26" s="6">
        <f>IF(AN26="R",MAX(AP$17:AP25,AO$15-1)+1,"")</f>
        <v>35</v>
      </c>
      <c r="AQ26" s="6">
        <f t="shared" si="17"/>
        <v>1</v>
      </c>
      <c r="AR26" s="6">
        <f t="shared" si="18"/>
        <v>9</v>
      </c>
      <c r="AS26" s="6" t="str">
        <v>IVDSH_DID_REA_VM3TO1_SOC_POW_STS</v>
      </c>
      <c r="AV26" s="6" t="s">
        <v>273</v>
      </c>
      <c r="AW26" s="6">
        <f>IF(AW29=0,"",COUNTIF(AW$29:AW33,"&gt;0")-1)</f>
        <v>2</v>
      </c>
      <c r="BA26" s="12"/>
      <c r="BE26" s="11" t="str">
        <f t="shared" si="0"/>
        <v>#define IVDSH_DID_WRI_VM1TO23_FSLP               (9U)</v>
      </c>
      <c r="BF26" s="11" t="str">
        <f t="shared" si="1"/>
        <v/>
      </c>
      <c r="BG26" s="11" t="str">
        <f t="shared" si="2"/>
        <v/>
      </c>
      <c r="BH26" s="11" t="str">
        <f t="shared" si="3"/>
        <v/>
      </c>
      <c r="BI26" s="11" t="str">
        <f t="shared" si="4"/>
        <v>#define IVDSH_DID_REA_VM3TO1_SOC_POW_STS         (35U)</v>
      </c>
      <c r="BJ26" s="11"/>
      <c r="BK26" s="11" t="str">
        <f t="shared" si="7"/>
        <v xml:space="preserve">    {(U2)9U,        (U2)1U,         (U2)IVDSH_FQ_CH_WRI  },     /* IVDSH_DID_WRI_VM1TO23_FSLP      */</v>
      </c>
      <c r="BL26" s="11" t="str">
        <f t="shared" si="8"/>
        <v/>
      </c>
      <c r="BM26" s="11" t="str">
        <f t="shared" si="9"/>
        <v/>
      </c>
      <c r="BN26" s="11" t="str">
        <f t="shared" si="10"/>
        <v/>
      </c>
      <c r="BO26" s="11" t="str">
        <f t="shared" si="11"/>
        <v xml:space="preserve">    {(U2)9U,        (U2)1U,         (U2)IVDSH_FQ_CH_REA_1},     /* IVDSH_DID_REA_VM3TO1_SOC_POW_STS*/</v>
      </c>
      <c r="BP26" s="11"/>
      <c r="BQ26" s="11"/>
      <c r="BR26" s="11" t="str">
        <f>IF(AW37="","",IF(AW26&lt;&gt;"",
  "         ((U2)IVDSH_WA_NWORD_REA_0 &lt;&lt; 1)),",
  "")
)</f>
        <v xml:space="preserve">         ((U2)IVDSH_WA_NWORD_REA_0 &lt;&lt; 1)),</v>
      </c>
      <c r="BS26" s="11"/>
    </row>
    <row r="27" spans="5:71" x14ac:dyDescent="0.4">
      <c r="E27" s="6">
        <f t="shared" si="12"/>
        <v>10</v>
      </c>
      <c r="F27" s="6">
        <v>34</v>
      </c>
      <c r="G27" s="6" t="str">
        <v>VM1TO2_WHLINI_RES</v>
      </c>
      <c r="H27" s="6" t="str">
        <v>T</v>
      </c>
      <c r="I27" s="6">
        <v>1</v>
      </c>
      <c r="J27" s="6">
        <f t="shared" si="19"/>
        <v>10</v>
      </c>
      <c r="K27" s="6" t="str">
        <v>IVDSH_DID_WRI_VM1TO2_WHLINI_RES</v>
      </c>
      <c r="R27" s="6" t="str">
        <f>IF(P27="R",MAX(R$17:R26,Q$15-1)+1,"")</f>
        <v/>
      </c>
      <c r="S27" s="6" t="str">
        <f t="shared" si="13"/>
        <v/>
      </c>
      <c r="T27" s="6" t="str">
        <f t="shared" si="14"/>
        <v/>
      </c>
      <c r="V27" s="6">
        <v>34</v>
      </c>
      <c r="W27" s="6" t="str">
        <v>VM1TO2_WHLINI_RES</v>
      </c>
      <c r="X27" s="6" t="str">
        <v>T</v>
      </c>
      <c r="Y27" s="6">
        <v>1</v>
      </c>
      <c r="Z27" s="6" t="str">
        <f>IF(X27="R",MAX(Z$17:Z26,Y$15-1)+1,"")</f>
        <v/>
      </c>
      <c r="AA27" s="6" t="str">
        <f t="shared" si="15"/>
        <v/>
      </c>
      <c r="AB27" s="6" t="str">
        <f t="shared" si="16"/>
        <v/>
      </c>
      <c r="AC27" s="6" t="str">
        <v>IVDSH_DID_REA_VM1TO2_WHLINI_RES</v>
      </c>
      <c r="AD27" s="6">
        <v>32</v>
      </c>
      <c r="AE27" s="6" t="str">
        <v>GPS_REQ</v>
      </c>
      <c r="AF27" s="6" t="str">
        <v>-</v>
      </c>
      <c r="AG27" s="6">
        <v>1</v>
      </c>
      <c r="AH27" s="6" t="str">
        <f>IF(AF27="R",MAX(AH$17:AH26,AG$15-1)+1,"")</f>
        <v/>
      </c>
      <c r="AI27" s="6">
        <f t="shared" si="5"/>
        <v>0</v>
      </c>
      <c r="AJ27" s="6">
        <f t="shared" si="6"/>
        <v>10</v>
      </c>
      <c r="AK27" s="6" t="str">
        <v>IVDSH_DID_REA_GPS_REQ</v>
      </c>
      <c r="AL27" s="6">
        <v>53</v>
      </c>
      <c r="AM27" s="6" t="str">
        <v>VM3TO2_WKUP_COND</v>
      </c>
      <c r="AN27" s="6" t="str">
        <v>-</v>
      </c>
      <c r="AO27" s="6">
        <v>1</v>
      </c>
      <c r="AP27" s="6" t="str">
        <f>IF(AN27="R",MAX(AP$17:AP26,AO$15-1)+1,"")</f>
        <v/>
      </c>
      <c r="AQ27" s="6">
        <f t="shared" si="17"/>
        <v>1</v>
      </c>
      <c r="AR27" s="6">
        <f t="shared" si="18"/>
        <v>10</v>
      </c>
      <c r="AS27" s="6" t="str">
        <v>IVDSH_DID_REA_VM3TO2_WKUP_COND</v>
      </c>
      <c r="BA27" s="12"/>
      <c r="BE27" s="11" t="str">
        <f t="shared" si="0"/>
        <v>#define IVDSH_DID_WRI_VM1TO2_WHLINI_RES          (10U)</v>
      </c>
      <c r="BF27" s="11" t="str">
        <f t="shared" si="1"/>
        <v/>
      </c>
      <c r="BG27" s="11" t="str">
        <f t="shared" si="2"/>
        <v/>
      </c>
      <c r="BH27" s="11" t="str">
        <f t="shared" si="3"/>
        <v/>
      </c>
      <c r="BI27" s="11" t="str">
        <f t="shared" si="4"/>
        <v/>
      </c>
      <c r="BJ27" s="11"/>
      <c r="BK27" s="11" t="str">
        <f t="shared" si="7"/>
        <v xml:space="preserve">    {(U2)10U,       (U2)1U,         (U2)IVDSH_FQ_CH_WRI  },     /* IVDSH_DID_WRI_VM1TO2_WHLINI_RES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x14ac:dyDescent="0.4">
      <c r="E28" s="6">
        <f t="shared" si="12"/>
        <v>11</v>
      </c>
      <c r="F28" s="6">
        <v>35</v>
      </c>
      <c r="G28" s="6" t="str">
        <v>VM1TO3_WHLINI_INF</v>
      </c>
      <c r="H28" s="6" t="str">
        <v>T</v>
      </c>
      <c r="I28" s="6">
        <v>1</v>
      </c>
      <c r="J28" s="6">
        <f t="shared" si="19"/>
        <v>11</v>
      </c>
      <c r="K28" s="6" t="str">
        <v>IVDSH_DID_WRI_VM1TO3_WHLINI_INF</v>
      </c>
      <c r="R28" s="6" t="str">
        <f>IF(P28="R",MAX(R$17:R27,Q$15-1)+1,"")</f>
        <v/>
      </c>
      <c r="S28" s="6" t="str">
        <f t="shared" si="13"/>
        <v/>
      </c>
      <c r="T28" s="6" t="str">
        <f t="shared" si="14"/>
        <v/>
      </c>
      <c r="V28" s="6">
        <v>35</v>
      </c>
      <c r="W28" s="6" t="str">
        <v>VM1TO3_WHLINI_INF</v>
      </c>
      <c r="X28" s="6" t="str">
        <v>T</v>
      </c>
      <c r="Y28" s="6">
        <v>1</v>
      </c>
      <c r="Z28" s="6" t="str">
        <f>IF(X28="R",MAX(Z$17:Z27,Y$15-1)+1,"")</f>
        <v/>
      </c>
      <c r="AA28" s="6" t="str">
        <f t="shared" si="15"/>
        <v/>
      </c>
      <c r="AB28" s="6" t="str">
        <f t="shared" si="16"/>
        <v/>
      </c>
      <c r="AC28" s="6" t="str">
        <v>IVDSH_DID_REA_VM1TO3_WHLINI_INF</v>
      </c>
      <c r="AD28" s="6">
        <v>33</v>
      </c>
      <c r="AE28" s="6" t="str">
        <v>VM2TO1_WHLINI_REQ</v>
      </c>
      <c r="AF28" s="6" t="str">
        <v>R</v>
      </c>
      <c r="AG28" s="6">
        <v>1</v>
      </c>
      <c r="AH28" s="6">
        <f>IF(AF28="R",MAX(AH$17:AH27,AG$15-1)+1,"")</f>
        <v>22</v>
      </c>
      <c r="AI28" s="6">
        <f t="shared" si="5"/>
        <v>0</v>
      </c>
      <c r="AJ28" s="6">
        <f t="shared" si="6"/>
        <v>11</v>
      </c>
      <c r="AK28" s="6" t="str">
        <v>IVDSH_DID_REA_VM2TO1_WHLINI_REQ</v>
      </c>
      <c r="AL28" s="6">
        <v>54</v>
      </c>
      <c r="AM28" s="6" t="str">
        <v>VM3TO2_USRRST_MASK</v>
      </c>
      <c r="AN28" s="6" t="str">
        <v>-</v>
      </c>
      <c r="AO28" s="6">
        <v>1</v>
      </c>
      <c r="AP28" s="6" t="str">
        <f>IF(AN28="R",MAX(AP$17:AP27,AO$15-1)+1,"")</f>
        <v/>
      </c>
      <c r="AQ28" s="6">
        <f t="shared" si="17"/>
        <v>1</v>
      </c>
      <c r="AR28" s="6">
        <f t="shared" si="18"/>
        <v>11</v>
      </c>
      <c r="AS28" s="6" t="str">
        <v>IVDSH_DID_REA_VM3TO2_USRRST_MASK</v>
      </c>
      <c r="AV28" s="6" t="s">
        <v>274</v>
      </c>
      <c r="AW28" s="6">
        <f>AW29+SUM(AW30:AW33)*2</f>
        <v>91</v>
      </c>
      <c r="BA28" s="12"/>
      <c r="BE28" s="11" t="str">
        <f t="shared" si="0"/>
        <v>#define IVDSH_DID_WRI_VM1TO3_WHLINI_INF          (11U)</v>
      </c>
      <c r="BF28" s="11" t="str">
        <f t="shared" si="1"/>
        <v/>
      </c>
      <c r="BG28" s="11" t="str">
        <f t="shared" si="2"/>
        <v/>
      </c>
      <c r="BH28" s="11" t="str">
        <f t="shared" si="3"/>
        <v>#define IVDSH_DID_REA_VM2TO1_WHLINI_REQ          (22U)</v>
      </c>
      <c r="BI28" s="11" t="str">
        <f t="shared" si="4"/>
        <v/>
      </c>
      <c r="BJ28" s="11"/>
      <c r="BK28" s="11" t="str">
        <f t="shared" si="7"/>
        <v xml:space="preserve">    {(U2)11U,       (U2)1U,         (U2)IVDSH_FQ_CH_WRI  },     /* IVDSH_DID_WRI_VM1TO3_WHLINI_INF */</v>
      </c>
      <c r="BL28" s="11" t="str">
        <f t="shared" si="8"/>
        <v/>
      </c>
      <c r="BM28" s="11" t="str">
        <f t="shared" si="9"/>
        <v/>
      </c>
      <c r="BN28" s="11" t="str">
        <f t="shared" si="10"/>
        <v xml:space="preserve">    {(U2)11U,       (U2)1U,         (U2)IVDSH_FQ_CH_REA_0},     /* IVDSH_DID_REA_VM2TO1_WHLINI_REQ */</v>
      </c>
      <c r="BO28" s="11" t="str">
        <f t="shared" si="11"/>
        <v/>
      </c>
      <c r="BP28" s="11"/>
      <c r="BQ28" s="11"/>
      <c r="BR28" s="11" t="str" cm="1">
        <f t="array" ref="BR28">IF(AW37="","","        (U2)"&amp;INDEX(B6:B9,AX37+1)&amp;"                       /* u2_fq_ch */")</f>
        <v xml:space="preserve">        (U2)EHVM_RX_VCCID_VCC_SHARED_TX_VM3                       /* u2_fq_ch */</v>
      </c>
      <c r="BS28" s="11"/>
    </row>
    <row r="29" spans="5:71" x14ac:dyDescent="0.4">
      <c r="E29" s="6">
        <f t="shared" si="12"/>
        <v>12</v>
      </c>
      <c r="F29" s="6">
        <v>45</v>
      </c>
      <c r="G29" s="6" t="str">
        <v>VM1TO2_MET1D51</v>
      </c>
      <c r="H29" s="6" t="str">
        <v>T</v>
      </c>
      <c r="I29" s="6">
        <v>2</v>
      </c>
      <c r="J29" s="6">
        <f t="shared" si="19"/>
        <v>12</v>
      </c>
      <c r="K29" s="6" t="str">
        <v>IVDSH_DID_WRI_VM1TO2_MET1D51</v>
      </c>
      <c r="R29" s="6" t="str">
        <f>IF(P29="R",MAX(R$17:R28,Q$15-1)+1,"")</f>
        <v/>
      </c>
      <c r="S29" s="6" t="str">
        <f t="shared" si="13"/>
        <v/>
      </c>
      <c r="T29" s="6" t="str">
        <f t="shared" si="14"/>
        <v/>
      </c>
      <c r="V29" s="6">
        <v>45</v>
      </c>
      <c r="W29" s="6" t="str">
        <v>VM1TO2_MET1D51</v>
      </c>
      <c r="X29" s="6" t="str">
        <v>T</v>
      </c>
      <c r="Y29" s="6">
        <v>2</v>
      </c>
      <c r="Z29" s="6" t="str">
        <f>IF(X29="R",MAX(Z$17:Z28,Y$15-1)+1,"")</f>
        <v/>
      </c>
      <c r="AA29" s="6" t="str">
        <f t="shared" si="15"/>
        <v/>
      </c>
      <c r="AB29" s="6" t="str">
        <f t="shared" si="16"/>
        <v/>
      </c>
      <c r="AC29" s="6" t="str">
        <v>IVDSH_DID_REA_VM1TO2_MET1D51</v>
      </c>
      <c r="AD29" s="6">
        <v>36</v>
      </c>
      <c r="AE29" s="6" t="str">
        <v>VM2TO3_DIN2_STAT</v>
      </c>
      <c r="AF29" s="6" t="str">
        <v>-</v>
      </c>
      <c r="AG29" s="6">
        <v>1</v>
      </c>
      <c r="AH29" s="6" t="str">
        <f>IF(AF29="R",MAX(AH$17:AH28,AG$15-1)+1,"")</f>
        <v/>
      </c>
      <c r="AI29" s="6">
        <f t="shared" si="5"/>
        <v>0</v>
      </c>
      <c r="AJ29" s="6">
        <f t="shared" si="6"/>
        <v>12</v>
      </c>
      <c r="AK29" s="6" t="str">
        <v>IVDSH_DID_REA_VM2TO3_DIN2_STAT</v>
      </c>
      <c r="AP29" s="6" t="str">
        <f>IF(AN29="R",MAX(AP$17:AP28,AO$15-1)+1,"")</f>
        <v/>
      </c>
      <c r="AQ29" s="6" t="str">
        <f t="shared" si="17"/>
        <v/>
      </c>
      <c r="AR29" s="6" t="str">
        <f t="shared" si="18"/>
        <v/>
      </c>
      <c r="AV29" s="6" t="s">
        <v>275</v>
      </c>
      <c r="AW29" s="6">
        <f>SUM(I$17:I529)</f>
        <v>19</v>
      </c>
      <c r="AX29" s="30" t="s">
        <v>267</v>
      </c>
      <c r="BA29" s="12"/>
      <c r="BE29" s="11" t="str">
        <f t="shared" si="0"/>
        <v>#define IVDSH_DID_WRI_VM1TO2_MET1D51             (12U)</v>
      </c>
      <c r="BF29" s="11" t="str">
        <f t="shared" si="1"/>
        <v/>
      </c>
      <c r="BG29" s="11" t="str">
        <f t="shared" si="2"/>
        <v/>
      </c>
      <c r="BH29" s="11" t="str">
        <f t="shared" si="3"/>
        <v/>
      </c>
      <c r="BI29" s="11" t="str">
        <f t="shared" si="4"/>
        <v/>
      </c>
      <c r="BJ29" s="11"/>
      <c r="BK29" s="11" t="str">
        <f t="shared" si="7"/>
        <v xml:space="preserve">    {(U2)12U,       (U2)2U,         (U2)IVDSH_FQ_CH_WRI  },     /* IVDSH_DID_WRI_VM1TO2_MET1D51    */</v>
      </c>
      <c r="BL29" s="11" t="str">
        <f t="shared" si="8"/>
        <v/>
      </c>
      <c r="BM29" s="11" t="str">
        <f t="shared" si="9"/>
        <v/>
      </c>
      <c r="BN29" s="11" t="str">
        <f t="shared" si="10"/>
        <v/>
      </c>
      <c r="BO29" s="11" t="str">
        <f t="shared" si="11"/>
        <v/>
      </c>
      <c r="BP29" s="11"/>
      <c r="BQ29" s="11"/>
      <c r="BR29" s="28" t="str">
        <f>IF(AW37="","","    },")</f>
        <v xml:space="preserve">    },</v>
      </c>
      <c r="BS29" s="11"/>
    </row>
    <row r="30" spans="5:71" x14ac:dyDescent="0.4">
      <c r="E30" s="6">
        <f t="shared" si="12"/>
        <v>13</v>
      </c>
      <c r="F30" s="6">
        <v>48</v>
      </c>
      <c r="G30" s="6" t="str">
        <v>FWUPXRES</v>
      </c>
      <c r="H30" s="6" t="str">
        <v>T</v>
      </c>
      <c r="I30" s="6">
        <v>2</v>
      </c>
      <c r="J30" s="6">
        <f t="shared" si="19"/>
        <v>14</v>
      </c>
      <c r="K30" s="6" t="str">
        <v>IVDSH_DID_WRI_FWUPXRES</v>
      </c>
      <c r="R30" s="6" t="str">
        <f>IF(P30="R",MAX(R$17:R29,Q$15-1)+1,"")</f>
        <v/>
      </c>
      <c r="S30" s="6" t="str">
        <f t="shared" si="13"/>
        <v/>
      </c>
      <c r="T30" s="6" t="str">
        <f t="shared" si="14"/>
        <v/>
      </c>
      <c r="V30" s="6">
        <v>48</v>
      </c>
      <c r="W30" s="6" t="str">
        <v>FWUPXRES</v>
      </c>
      <c r="X30" s="6" t="str">
        <v>T</v>
      </c>
      <c r="Y30" s="6">
        <v>2</v>
      </c>
      <c r="Z30" s="6" t="str">
        <f>IF(X30="R",MAX(Z$17:Z29,Y$15-1)+1,"")</f>
        <v/>
      </c>
      <c r="AA30" s="6" t="str">
        <f t="shared" si="15"/>
        <v/>
      </c>
      <c r="AB30" s="6" t="str">
        <f t="shared" si="16"/>
        <v/>
      </c>
      <c r="AC30" s="6" t="str">
        <v>IVDSH_DID_REA_FWUPXRES</v>
      </c>
      <c r="AD30" s="6">
        <v>37</v>
      </c>
      <c r="AE30" s="6" t="str">
        <v>VM2TO1_DMS1S02</v>
      </c>
      <c r="AF30" s="6" t="str">
        <v>R</v>
      </c>
      <c r="AG30" s="6">
        <v>1</v>
      </c>
      <c r="AH30" s="6">
        <f>IF(AF30="R",MAX(AH$17:AH29,AG$15-1)+1,"")</f>
        <v>23</v>
      </c>
      <c r="AI30" s="6">
        <f t="shared" si="5"/>
        <v>0</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IVDSH_DID_WRI_FWUPXRES                   (13U)</v>
      </c>
      <c r="BF30" s="11" t="str">
        <f t="shared" si="1"/>
        <v/>
      </c>
      <c r="BG30" s="11" t="str">
        <f t="shared" si="2"/>
        <v/>
      </c>
      <c r="BH30" s="11" t="str">
        <f t="shared" si="3"/>
        <v>#define IVDSH_DID_REA_VM2TO1_DMS1S02             (23U)</v>
      </c>
      <c r="BI30" s="11" t="str">
        <f t="shared" si="4"/>
        <v/>
      </c>
      <c r="BJ30" s="11"/>
      <c r="BK30" s="11" t="str">
        <f t="shared" si="7"/>
        <v xml:space="preserve">    {(U2)14U,       (U2)2U,         (U2)IVDSH_FQ_CH_WRI  },     /* IVDSH_DID_WRI_FWUPXRES          */</v>
      </c>
      <c r="BL30" s="11" t="str">
        <f t="shared" si="8"/>
        <v/>
      </c>
      <c r="BM30" s="11" t="str">
        <f t="shared" si="9"/>
        <v/>
      </c>
      <c r="BN30" s="11" t="str">
        <f t="shared" si="10"/>
        <v xml:space="preserve">    {(U2)13U,       (U2)1U,         (U2)IVDSH_FQ_CH_REA_0},     /* IVDSH_DID_REA_VM2TO1_DMS1S02    */</v>
      </c>
      <c r="BO30" s="11" t="str">
        <f t="shared" si="11"/>
        <v/>
      </c>
      <c r="BP30" s="11"/>
      <c r="BQ30" s="11"/>
      <c r="BR30" s="11" t="str">
        <f>IF(AW38="","","    /* IVDSH_FQ_CH_REA_2 */")</f>
        <v/>
      </c>
      <c r="BS30" s="11"/>
    </row>
    <row r="31" spans="5:71" x14ac:dyDescent="0.4">
      <c r="E31" s="6">
        <f t="shared" si="12"/>
        <v>14</v>
      </c>
      <c r="F31" s="6">
        <v>52</v>
      </c>
      <c r="G31" s="6" t="str">
        <v>VM1TO3_NMDIAG</v>
      </c>
      <c r="H31" s="6" t="str">
        <v>T</v>
      </c>
      <c r="I31" s="6">
        <v>1</v>
      </c>
      <c r="J31" s="6">
        <f t="shared" si="19"/>
        <v>16</v>
      </c>
      <c r="K31" s="6" t="str">
        <v>IVDSH_DID_WRI_VM1TO3_NMDIAG</v>
      </c>
      <c r="R31" s="6" t="str">
        <f>IF(P31="R",MAX(R$17:R30,Q$15-1)+1,"")</f>
        <v/>
      </c>
      <c r="S31" s="6" t="str">
        <f t="shared" si="13"/>
        <v/>
      </c>
      <c r="T31" s="6" t="str">
        <f t="shared" si="14"/>
        <v/>
      </c>
      <c r="V31" s="6">
        <v>52</v>
      </c>
      <c r="W31" s="6" t="str">
        <v>VM1TO3_NMDIAG</v>
      </c>
      <c r="X31" s="6" t="str">
        <v>T</v>
      </c>
      <c r="Y31" s="6">
        <v>1</v>
      </c>
      <c r="Z31" s="6" t="str">
        <f>IF(X31="R",MAX(Z$17:Z30,Y$15-1)+1,"")</f>
        <v/>
      </c>
      <c r="AA31" s="6" t="str">
        <f t="shared" si="15"/>
        <v/>
      </c>
      <c r="AB31" s="6" t="str">
        <f t="shared" si="16"/>
        <v/>
      </c>
      <c r="AC31" s="6" t="str">
        <v>IVDSH_DID_REA_VM1TO3_NMDIAG</v>
      </c>
      <c r="AD31" s="6">
        <v>38</v>
      </c>
      <c r="AE31" s="6" t="str">
        <v>VM2TO1_MET1S27</v>
      </c>
      <c r="AF31" s="6" t="str">
        <v>R</v>
      </c>
      <c r="AG31" s="6">
        <v>1</v>
      </c>
      <c r="AH31" s="6">
        <f>IF(AF31="R",MAX(AH$17:AH30,AG$15-1)+1,"")</f>
        <v>24</v>
      </c>
      <c r="AI31" s="6">
        <f t="shared" si="5"/>
        <v>0</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IVDSH_DID_WRI_VM1TO3_NMDIAG              (14U)</v>
      </c>
      <c r="BF31" s="11" t="str">
        <f t="shared" si="1"/>
        <v/>
      </c>
      <c r="BG31" s="11" t="str">
        <f t="shared" si="2"/>
        <v/>
      </c>
      <c r="BH31" s="11" t="str">
        <f t="shared" si="3"/>
        <v>#define IVDSH_DID_REA_VM2TO1_MET1S27             (24U)</v>
      </c>
      <c r="BI31" s="11" t="str">
        <f t="shared" si="4"/>
        <v/>
      </c>
      <c r="BJ31" s="11"/>
      <c r="BK31" s="11" t="str">
        <f t="shared" si="7"/>
        <v xml:space="preserve">    {(U2)16U,       (U2)1U,         (U2)IVDSH_FQ_CH_WRI  },     /* IVDSH_DID_WRI_VM1TO3_NMDIAG     */</v>
      </c>
      <c r="BL31" s="11" t="str">
        <f t="shared" si="8"/>
        <v/>
      </c>
      <c r="BM31" s="11" t="str">
        <f t="shared" si="9"/>
        <v/>
      </c>
      <c r="BN31" s="11" t="str">
        <f t="shared" si="10"/>
        <v xml:space="preserve">    {(U2)14U,       (U2)1U,         (U2)IVDSH_FQ_CH_REA_0},     /* IVDSH_DID_REA_VM2TO1_MET1S27    */</v>
      </c>
      <c r="BO31" s="11" t="str">
        <f t="shared" si="11"/>
        <v/>
      </c>
      <c r="BP31" s="11"/>
      <c r="BQ31" s="11"/>
      <c r="BR31" s="11" t="str">
        <f>IF(AW38="","","    {")</f>
        <v/>
      </c>
      <c r="BS31" s="11"/>
    </row>
    <row r="32" spans="5:71" x14ac:dyDescent="0.4">
      <c r="E32" s="6">
        <f t="shared" si="12"/>
        <v>15</v>
      </c>
      <c r="F32" s="6">
        <v>55</v>
      </c>
      <c r="G32" s="6" t="str">
        <v>VM1TO3_MAC_ADDRESS</v>
      </c>
      <c r="H32" s="6" t="str">
        <v>T</v>
      </c>
      <c r="I32" s="6">
        <v>2</v>
      </c>
      <c r="J32" s="6">
        <f t="shared" si="19"/>
        <v>17</v>
      </c>
      <c r="K32" s="6" t="str">
        <v>IVDSH_DID_WRI_VM1TO3_MAC_ADDRESS</v>
      </c>
      <c r="R32" s="6" t="str">
        <f>IF(P32="R",MAX(R$17:R31,Q$15-1)+1,"")</f>
        <v/>
      </c>
      <c r="S32" s="6" t="str">
        <f t="shared" si="13"/>
        <v/>
      </c>
      <c r="T32" s="6" t="str">
        <f t="shared" si="14"/>
        <v/>
      </c>
      <c r="V32" s="6">
        <v>55</v>
      </c>
      <c r="W32" s="6" t="str">
        <v>VM1TO3_MAC_ADDRESS</v>
      </c>
      <c r="X32" s="6" t="str">
        <v>T</v>
      </c>
      <c r="Y32" s="6">
        <v>2</v>
      </c>
      <c r="Z32" s="6" t="str">
        <f>IF(X32="R",MAX(Z$17:Z31,Y$15-1)+1,"")</f>
        <v/>
      </c>
      <c r="AA32" s="6" t="str">
        <f t="shared" si="15"/>
        <v/>
      </c>
      <c r="AB32" s="6" t="str">
        <f t="shared" si="16"/>
        <v/>
      </c>
      <c r="AC32" s="6" t="str">
        <v>IVDSH_DID_REA_VM1TO3_MAC_ADDRESS</v>
      </c>
      <c r="AD32" s="6">
        <v>39</v>
      </c>
      <c r="AE32" s="6" t="str">
        <v>VM2TO1_MET1S28</v>
      </c>
      <c r="AF32" s="6" t="str">
        <v>R</v>
      </c>
      <c r="AG32" s="6">
        <v>1</v>
      </c>
      <c r="AH32" s="6">
        <f>IF(AF32="R",MAX(AH$17:AH31,AG$15-1)+1,"")</f>
        <v>25</v>
      </c>
      <c r="AI32" s="6">
        <f t="shared" si="5"/>
        <v>0</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IVDSH_WA_NWORD_REA_0</v>
      </c>
      <c r="AW32" s="6">
        <f>IF(AH15&lt;&gt;0,SUM(AG$17:AG529),"")</f>
        <v>24</v>
      </c>
      <c r="AX32" s="31">
        <v>2</v>
      </c>
      <c r="BE32" s="11" t="str">
        <f t="shared" si="0"/>
        <v>#define IVDSH_DID_WRI_VM1TO3_MAC_ADDRESS         (15U)</v>
      </c>
      <c r="BF32" s="11" t="str">
        <f t="shared" si="1"/>
        <v/>
      </c>
      <c r="BG32" s="11" t="str">
        <f t="shared" si="2"/>
        <v/>
      </c>
      <c r="BH32" s="11" t="str">
        <f t="shared" si="3"/>
        <v>#define IVDSH_DID_REA_VM2TO1_MET1S28             (25U)</v>
      </c>
      <c r="BI32" s="11" t="str">
        <f t="shared" si="4"/>
        <v/>
      </c>
      <c r="BJ32" s="11"/>
      <c r="BK32" s="11" t="str">
        <f t="shared" si="7"/>
        <v xml:space="preserve">    {(U2)17U,       (U2)2U,         (U2)IVDSH_FQ_CH_WRI  },     /* IVDSH_DID_WRI_VM1TO3_MAC_ADDRESS*/</v>
      </c>
      <c r="BL32" s="11" t="str">
        <f t="shared" si="8"/>
        <v/>
      </c>
      <c r="BM32" s="11" t="str">
        <f t="shared" si="9"/>
        <v/>
      </c>
      <c r="BN32" s="11" t="str">
        <f t="shared" si="10"/>
        <v xml:space="preserve">    {(U2)15U,       (U2)1U,         (U2)IVDSH_FQ_CH_REA_0},     /* IVDSH_DID_REA_VM2TO1_MET1S28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R</v>
      </c>
      <c r="AG33" s="6">
        <v>1</v>
      </c>
      <c r="AH33" s="6">
        <f>IF(AF33="R",MAX(AH$17:AH32,AG$15-1)+1,"")</f>
        <v>26</v>
      </c>
      <c r="AI33" s="6">
        <f t="shared" si="5"/>
        <v>0</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f>IF(AP15&lt;&gt;0,SUM(AO$17:AO529),"")</f>
        <v>12</v>
      </c>
      <c r="AX33" s="31">
        <v>3</v>
      </c>
      <c r="BE33" s="11" t="str">
        <f t="shared" si="0"/>
        <v/>
      </c>
      <c r="BF33" s="11" t="str">
        <f t="shared" si="1"/>
        <v/>
      </c>
      <c r="BG33" s="11" t="str">
        <f t="shared" si="2"/>
        <v/>
      </c>
      <c r="BH33" s="11" t="str">
        <f t="shared" si="3"/>
        <v>#define IVDSH_DID_REA_VM2TO1_MET1S29             (26U)</v>
      </c>
      <c r="BI33" s="11" t="str">
        <f t="shared" si="4"/>
        <v/>
      </c>
      <c r="BJ33" s="11"/>
      <c r="BK33" s="11" t="str">
        <f t="shared" si="7"/>
        <v/>
      </c>
      <c r="BL33" s="11" t="str">
        <f t="shared" si="8"/>
        <v/>
      </c>
      <c r="BM33" s="11" t="str">
        <f t="shared" si="9"/>
        <v/>
      </c>
      <c r="BN33" s="11" t="str">
        <f t="shared" si="10"/>
        <v xml:space="preserve">    {(U2)16U,       (U2)1U,         (U2)IVDSH_FQ_CH_REA_0},     /* IVDSH_DID_REA_VM2TO1_MET1S29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R</v>
      </c>
      <c r="AG34" s="6">
        <v>1</v>
      </c>
      <c r="AH34" s="6">
        <f>IF(AF34="R",MAX(AH$17:AH33,AG$15-1)+1,"")</f>
        <v>27</v>
      </c>
      <c r="AI34" s="6">
        <f t="shared" si="5"/>
        <v>0</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#define IVDSH_DID_REA_VM2TO1_MET1S30             (27U)</v>
      </c>
      <c r="BI34" s="11" t="str">
        <f t="shared" si="4"/>
        <v/>
      </c>
      <c r="BJ34" s="11"/>
      <c r="BK34" s="11" t="str">
        <f t="shared" si="7"/>
        <v/>
      </c>
      <c r="BL34" s="11" t="str">
        <f t="shared" si="8"/>
        <v/>
      </c>
      <c r="BM34" s="11" t="str">
        <f t="shared" si="9"/>
        <v/>
      </c>
      <c r="BN34" s="11" t="str">
        <f t="shared" si="10"/>
        <v xml:space="preserve">    {(U2)17U,       (U2)1U,         (U2)IVDSH_FQ_CH_REA_0},     /* IVDSH_DID_REA_VM2TO1_MET1S30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R</v>
      </c>
      <c r="AG35" s="6">
        <v>1</v>
      </c>
      <c r="AH35" s="6">
        <f>IF(AF35="R",MAX(AH$17:AH34,AG$15-1)+1,"")</f>
        <v>28</v>
      </c>
      <c r="AI35" s="6">
        <f t="shared" si="5"/>
        <v>0</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#define IVDSH_DID_REA_VM2TO1_MET1S43             (28U)</v>
      </c>
      <c r="BI35" s="11" t="str">
        <f t="shared" si="4"/>
        <v/>
      </c>
      <c r="BJ35" s="11"/>
      <c r="BK35" s="11" t="str">
        <f t="shared" si="7"/>
        <v/>
      </c>
      <c r="BL35" s="11" t="str">
        <f t="shared" si="8"/>
        <v/>
      </c>
      <c r="BM35" s="11" t="str">
        <f t="shared" si="9"/>
        <v/>
      </c>
      <c r="BN35" s="11" t="str">
        <f t="shared" si="10"/>
        <v xml:space="preserve">    {(U2)18U,       (U2)1U,         (U2)IVDSH_FQ_CH_REA_0},     /* IVDSH_DID_REA_VM2TO1_MET1S43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R</v>
      </c>
      <c r="AG36" s="6">
        <v>1</v>
      </c>
      <c r="AH36" s="6">
        <f>IF(AF36="R",MAX(AH$17:AH35,AG$15-1)+1,"")</f>
        <v>29</v>
      </c>
      <c r="AI36" s="6">
        <f t="shared" si="5"/>
        <v>0</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2</v>
      </c>
      <c r="BE36" s="11" t="str">
        <f t="shared" si="0"/>
        <v/>
      </c>
      <c r="BF36" s="11" t="str">
        <f t="shared" si="1"/>
        <v/>
      </c>
      <c r="BG36" s="11" t="str">
        <f t="shared" si="2"/>
        <v/>
      </c>
      <c r="BH36" s="11" t="str">
        <f t="shared" si="3"/>
        <v>#define IVDSH_DID_REA_VM2TO1_MET1S62             (29U)</v>
      </c>
      <c r="BI36" s="11" t="str">
        <f t="shared" si="4"/>
        <v/>
      </c>
      <c r="BJ36" s="11"/>
      <c r="BK36" s="11" t="str">
        <f t="shared" si="7"/>
        <v/>
      </c>
      <c r="BL36" s="11" t="str">
        <f t="shared" si="8"/>
        <v/>
      </c>
      <c r="BM36" s="11" t="str">
        <f t="shared" si="9"/>
        <v/>
      </c>
      <c r="BN36" s="11" t="str">
        <f t="shared" si="10"/>
        <v xml:space="preserve">    {(U2)19U,       (U2)1U,         (U2)IVDSH_FQ_CH_REA_0},     /* IVDSH_DID_REA_VM2TO1_MET1S62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R</v>
      </c>
      <c r="AG37" s="6">
        <v>1</v>
      </c>
      <c r="AH37" s="6">
        <f>IF(AF37="R",MAX(AH$17:AH36,AG$15-1)+1,"")</f>
        <v>30</v>
      </c>
      <c r="AI37" s="6">
        <f t="shared" si="5"/>
        <v>0</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3</v>
      </c>
      <c r="BE37" s="11" t="str">
        <f t="shared" si="0"/>
        <v/>
      </c>
      <c r="BF37" s="11" t="str">
        <f t="shared" si="1"/>
        <v/>
      </c>
      <c r="BG37" s="11" t="str">
        <f t="shared" si="2"/>
        <v/>
      </c>
      <c r="BH37" s="11" t="str">
        <f t="shared" si="3"/>
        <v>#define IVDSH_DID_REA_VM2TO1_MET1S70             (30U)</v>
      </c>
      <c r="BI37" s="11" t="str">
        <f t="shared" si="4"/>
        <v/>
      </c>
      <c r="BJ37" s="11"/>
      <c r="BK37" s="11" t="str">
        <f t="shared" si="7"/>
        <v/>
      </c>
      <c r="BL37" s="11" t="str">
        <f t="shared" si="8"/>
        <v/>
      </c>
      <c r="BM37" s="11" t="str">
        <f t="shared" si="9"/>
        <v/>
      </c>
      <c r="BN37" s="11" t="str">
        <f t="shared" si="10"/>
        <v xml:space="preserve">    {(U2)20U,       (U2)1U,         (U2)IVDSH_FQ_CH_REA_0},     /* IVDSH_DID_REA_VM2TO1_MET1S70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R</v>
      </c>
      <c r="AG38" s="6">
        <v>2</v>
      </c>
      <c r="AH38" s="6">
        <f>IF(AF38="R",MAX(AH$17:AH37,AG$15-1)+1,"")</f>
        <v>31</v>
      </c>
      <c r="AI38" s="6">
        <f t="shared" si="5"/>
        <v>0</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#define IVDSH_DID_REA_FWUPXREQ_H                 (31U)</v>
      </c>
      <c r="BI38" s="11" t="str">
        <f t="shared" si="4"/>
        <v/>
      </c>
      <c r="BJ38" s="11"/>
      <c r="BK38" s="11" t="str">
        <f t="shared" si="7"/>
        <v/>
      </c>
      <c r="BL38" s="11" t="str">
        <f t="shared" si="8"/>
        <v/>
      </c>
      <c r="BM38" s="11" t="str">
        <f t="shared" si="9"/>
        <v/>
      </c>
      <c r="BN38" s="11" t="str">
        <f t="shared" si="10"/>
        <v xml:space="preserve">    {(U2)21U,       (U2)2U,         (U2)IVDSH_FQ_CH_REA_0},     /* IVDSH_DID_REA_FWUPXREQ_H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R</v>
      </c>
      <c r="AG39" s="6">
        <v>1</v>
      </c>
      <c r="AH39" s="6">
        <f>IF(AF39="R",MAX(AH$17:AH38,AG$15-1)+1,"")</f>
        <v>32</v>
      </c>
      <c r="AI39" s="6">
        <f t="shared" si="5"/>
        <v>0</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#define IVDSH_DID_REA_FWUPXREQ_D                 (32U)</v>
      </c>
      <c r="BI39" s="11" t="str">
        <f t="shared" si="4"/>
        <v/>
      </c>
      <c r="BJ39" s="11"/>
      <c r="BK39" s="11" t="str">
        <f t="shared" si="7"/>
        <v/>
      </c>
      <c r="BL39" s="11" t="str">
        <f t="shared" si="8"/>
        <v/>
      </c>
      <c r="BM39" s="11" t="str">
        <f t="shared" si="9"/>
        <v/>
      </c>
      <c r="BN39" s="11" t="str">
        <f t="shared" si="10"/>
        <v xml:space="preserve">    {(U2)23U,       (U2)1U,         (U2)IVDSH_FQ_CH_REA_0},     /* IVDSH_DID_REA_FWUPXREQ_D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286</v>
      </c>
      <c r="N3" s="21" t="s">
        <v>205</v>
      </c>
      <c r="O3" s="21"/>
      <c r="BA3" s="21" t="s">
        <v>206</v>
      </c>
      <c r="BE3" s="21" t="s">
        <v>207</v>
      </c>
    </row>
    <row r="4" spans="1:84" x14ac:dyDescent="0.4">
      <c r="A4" s="6" t="s">
        <v>208</v>
      </c>
      <c r="B4" s="1" t="s">
        <v>287</v>
      </c>
      <c r="AY4" s="23"/>
      <c r="AZ4" s="13"/>
      <c r="BD4" s="13"/>
    </row>
    <row r="5" spans="1:84" x14ac:dyDescent="0.4">
      <c r="A5" s="6" t="s">
        <v>210</v>
      </c>
      <c r="B5" s="1" t="s">
        <v>288</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x14ac:dyDescent="0.4">
      <c r="F15" s="6">
        <f>IF(F17="",0,COUNTA(F$17:F529))</f>
        <v>23</v>
      </c>
      <c r="G15" s="6" t="s">
        <v>248</v>
      </c>
      <c r="J15" s="14">
        <v>0</v>
      </c>
      <c r="N15" s="9" t="str">
        <f>N1</f>
        <v>VM#0</v>
      </c>
      <c r="O15" s="6" t="s">
        <v>248</v>
      </c>
      <c r="Q15" s="6">
        <f>F15</f>
        <v>23</v>
      </c>
      <c r="R15" s="6">
        <f>COUNTIF(P17:P529,"R")</f>
        <v>4</v>
      </c>
      <c r="S15" s="6">
        <f>COUNTIF(R$15,"&lt;&gt;0")</f>
        <v>1</v>
      </c>
      <c r="T15" s="14">
        <v>0</v>
      </c>
      <c r="U15" s="6">
        <f>COUNTA(U$17:U529)</f>
        <v>4</v>
      </c>
      <c r="V15" s="9" t="str">
        <f>V1</f>
        <v>VM#1(MET)</v>
      </c>
      <c r="W15" s="6" t="str">
        <f>O15</f>
        <v>CPREQ_</v>
      </c>
      <c r="Y15" s="6">
        <f>Q15+R15</f>
        <v>27</v>
      </c>
      <c r="Z15" s="6">
        <f>COUNTIF(X17:X529,"R")</f>
        <v>11</v>
      </c>
      <c r="AA15" s="6">
        <f>S15+COUNTIF(Z$15,"&lt;&gt;0")</f>
        <v>2</v>
      </c>
      <c r="AB15" s="14">
        <v>0</v>
      </c>
      <c r="AC15" s="6">
        <f>COUNTA(AC$17:AC529)</f>
        <v>16</v>
      </c>
      <c r="AD15" s="9" t="str">
        <f>AD1</f>
        <v>VM#2(IVI)</v>
      </c>
      <c r="AE15" s="6" t="str">
        <f>W15</f>
        <v>CPREQ_</v>
      </c>
      <c r="AG15" s="6">
        <f>Y15+Z15</f>
        <v>38</v>
      </c>
      <c r="AH15" s="6">
        <f>COUNTIF(AF17:AF529,"R")</f>
        <v>0</v>
      </c>
      <c r="AI15" s="6">
        <f>AA15+COUNTIF(AH$15,"&lt;&gt;0")</f>
        <v>2</v>
      </c>
      <c r="AJ15" s="14">
        <v>0</v>
      </c>
      <c r="AK15" s="6">
        <f>COUNTA(AK$17:AK529)</f>
        <v>23</v>
      </c>
      <c r="AL15" s="9" t="str">
        <f>AL1</f>
        <v>VM#3(CEN)</v>
      </c>
      <c r="AM15" s="6" t="str">
        <f>AE15</f>
        <v>CPREQ_</v>
      </c>
      <c r="AO15" s="6">
        <f>AG15+AH15</f>
        <v>38</v>
      </c>
      <c r="AP15" s="6">
        <f>COUNTIF(AN17:AN529,"R")</f>
        <v>10</v>
      </c>
      <c r="AQ15" s="6">
        <f>AI15+COUNTIF(AP$15,"&lt;&gt;0")</f>
        <v>3</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39">IFERROR(_xlfn._xlws.FILTER('Inter-VM Data Table'!$A2:$A901,INDEX('Inter-VM Data Table'!2:901,,MATCH(B3,'Inter-VM Data Table'!1:1,0))="T"),"")</f>
        <v>2</v>
      </c>
      <c r="G17" s="6" t="str" cm="1">
        <f t="array" ref="G17:G39">IFERROR(_xlfn._xlws.FILTER('Inter-VM Data Table'!$D2:$D901,INDEX('Inter-VM Data Table'!2:901,,MATCH(B3,'Inter-VM Data Table'!1:1,0))="T"),"")</f>
        <v>VM2TO3_STBY</v>
      </c>
      <c r="H17" s="6" t="str" cm="1">
        <f t="array" ref="H17:H39">IFERROR(_xlfn._xlws.FILTER(INDEX('Inter-VM Data Table'!2:901,,MATCH($B$3,'Inter-VM Data Table'!1:1,0)),INDEX('Inter-VM Data Table'!2:901,,MATCH(B3,'Inter-VM Data Table'!1:1,0))="T"),"")</f>
        <v>T</v>
      </c>
      <c r="I17" s="6" cm="1">
        <f t="array" ref="I17:I39">IFERROR(ROUNDDOWN(     (_xlfn._xlws.FILTER('Inter-VM Data Table'!$I2:$I901,INDEX('Inter-VM Data Table'!2:901,,MATCH(B3,'Inter-VM Data Table'!1:1,0))="T")+3)/4,    0       ),"")</f>
        <v>1</v>
      </c>
      <c r="J17" s="6">
        <v>0</v>
      </c>
      <c r="K17" s="6" t="str" cm="1">
        <f t="array" ref="K17:K39">IF(_xlfn.ANCHORARRAY(G17)=0,K1&amp;G15&amp;TEXT(_xlfn.ANCHORARRAY(F17),"000"),K1&amp;_xlfn.ANCHORARRAY(G17))</f>
        <v>IVDSH_DID_WRI_VM2TO3_STBY</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R</v>
      </c>
      <c r="Q17" s="6" cm="1">
        <f t="array" ref="Q17:Q20">IFERROR(ROUNDDOWN(     (_xlfn._xlws.FILTER('Inter-VM Data Table'!$I2:$I901,INDEX('Inter-VM Data Table'!2:901,,MATCH(N1,'Inter-VM Data Table'!1:1,0))="T")+3)/4,      0),"")</f>
        <v>1</v>
      </c>
      <c r="R17" s="6">
        <f>IF(P17="R",Q$15+0,"")</f>
        <v>23</v>
      </c>
      <c r="S17" s="6">
        <f>IF(R$15=0,"",0)</f>
        <v>0</v>
      </c>
      <c r="T17" s="6">
        <f>IF(R$15=0,"",$J$15)</f>
        <v>0</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v>
      </c>
      <c r="Y17" s="6" cm="1">
        <f t="array" ref="Y17:Y32">IFERROR(ROUNDDOWN(     (_xlfn._xlws.FILTER('Inter-VM Data Table'!$I2:$I901,INDEX('Inter-VM Data Table'!2:901,,MATCH(V1,'Inter-VM Data Table'!1:1,0))="T")+3)/4,      0),"")</f>
        <v>1</v>
      </c>
      <c r="Z17" s="6" t="str">
        <f>IF(X17="R",Y$15+0,"")</f>
        <v/>
      </c>
      <c r="AA17" s="6">
        <f>IF(Z$15=0,"",S15)</f>
        <v>1</v>
      </c>
      <c r="AB17" s="6">
        <f>IF(Z$15=0,"",T$15)</f>
        <v>0</v>
      </c>
      <c r="AC17" s="6" t="str" cm="1">
        <f t="array" ref="AC17:AC32">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T</v>
      </c>
      <c r="AG17" s="6" cm="1">
        <f t="array" ref="AG17:AG39">IFERROR(ROUNDDOWN(     (_xlfn._xlws.FILTER('Inter-VM Data Table'!$I2:$I901,INDEX('Inter-VM Data Table'!2:901,,MATCH(AD1,'Inter-VM Data Table'!1:1,0))="T")+3)/4,      0),"")</f>
        <v>1</v>
      </c>
      <c r="AH17" s="6" t="str">
        <f>IF(AF17="R",AG$15+0,"")</f>
        <v/>
      </c>
      <c r="AI17" s="6" t="str">
        <f>IF(AH$15=0,"",AA15)</f>
        <v/>
      </c>
      <c r="AJ17" s="6" t="str">
        <f>IF(AH$15=0,"",AB$15)</f>
        <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R</v>
      </c>
      <c r="AO17" s="6" cm="1">
        <f t="array" ref="AO17:AO28">IFERROR(ROUNDDOWN(     (_xlfn._xlws.FILTER('Inter-VM Data Table'!$I2:$I901,INDEX('Inter-VM Data Table'!2:901,,MATCH(AL1,'Inter-VM Data Table'!1:1,0))="T")+3)/4,      0),"")</f>
        <v>1</v>
      </c>
      <c r="AP17" s="6">
        <f>IF(AN17="R",AO$15+0,"")</f>
        <v>38</v>
      </c>
      <c r="AQ17" s="6">
        <f>IF(AP$15=0,"",AI15)</f>
        <v>2</v>
      </c>
      <c r="AR17" s="6">
        <f>IF(AP$15=0,"",AJ$15)</f>
        <v>0</v>
      </c>
      <c r="AS17" s="6" t="str" cm="1">
        <f t="array" ref="AS17:AS28">IF(_xlfn.ANCHORARRAY(AM17)=0,AS1&amp;AM15&amp;TEXT(_xlfn.ANCHORARRAY(AL17),"000"),AS1&amp;_xlfn.ANCHORARRAY(AM17))</f>
        <v>IVDSH_DID_REA_VM3TO2_SIPERR_INF</v>
      </c>
      <c r="AV17" s="6" t="s">
        <v>258</v>
      </c>
      <c r="AW17" s="6">
        <f>F15</f>
        <v>23</v>
      </c>
      <c r="BA17" s="12" t="s">
        <v>259</v>
      </c>
      <c r="BB17" s="11">
        <f>AW17</f>
        <v>23</v>
      </c>
      <c r="BD17" s="27" t="s">
        <v>260</v>
      </c>
      <c r="BE17" s="11" t="str">
        <f t="shared" ref="BE17:BE80" si="0">IF(F17="","","#define "&amp;K17&amp;REPT(" ",41-LEN(K17))&amp;"("&amp;E17&amp;"U)")</f>
        <v>#define IVDSH_DID_WRI_VM2TO3_STBY                (0U)</v>
      </c>
      <c r="BF17" s="11" t="str">
        <f t="shared" ref="BF17:BF80" si="1">IF(R17="","","#define "&amp;U17&amp;REPT(" ",41-LEN(U17))&amp;"("&amp;R17&amp;"U)")</f>
        <v>#define IVDSH_DID_REA_CANBUS_STS_2M1             (23U)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IVDSH_DID_REA_VM3TO2_SIPERR_INF          (38U)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IVDSH_DID_WRI_VM2TO3_STBY       */</v>
      </c>
      <c r="BL17" s="11" t="str">
        <f>IF(R17="","","    {(U2)"&amp;T17&amp;"U,"&amp;REPT(" ",9-LEN(T17))&amp;"(U2)"&amp;Q17&amp;"U,"&amp;REPT(" ",10-LEN(Q17))&amp;"(U2)IVDSH_FQ_CH_REA_"&amp;S17&amp;"},     /* "&amp;U17&amp;REPT(" ",32-LEN(U17))&amp;"*/")</f>
        <v xml:space="preserve">    {(U2)0U,        (U2)1U,         (U2)IVDSH_FQ_CH_REA_0},     /* IVDSH_DID_REA_CANBUS_STS_2M1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IVDSH_DID_REA_VM3TO2_SIPERR_INF */</v>
      </c>
      <c r="BP17" s="11" t="str" cm="1">
        <f t="array" ref="BP17:BP20">IF(AW22:AW25&lt;&gt;"","#define "&amp;AV22:AV25&amp;"                        ("&amp;AW22:AW25&amp;"U)","")</f>
        <v>#define IVDSH_FQ_CH_REA_0                        (0U)</v>
      </c>
      <c r="BQ17" s="11" t="str" cm="1">
        <f t="array" ref="BQ17:BQ20">IF(AW30:AW33&lt;&gt;"","#define "&amp;AV30:AV33&amp;"                     ("&amp;AW30:AW33&amp;"U)","")</f>
        <v>#define IVDSH_WA_NWORD_REA_0                     (4U)</v>
      </c>
      <c r="BR17" s="11" t="str">
        <f>IF(AW36="","","    /* IVDSH_FQ_CH_REA_0 */")</f>
        <v xml:space="preserve">    /* IVDSH_FQ_CH_REA_0 */</v>
      </c>
      <c r="BS17" s="11" t="str">
        <f>IF(AW26&lt;&gt;"","    /* IVDSH_FQ_CH_WRI   */","")</f>
        <v xml:space="preserve">    /* IVDSH_FQ_CH_WRI   */</v>
      </c>
    </row>
    <row r="18" spans="5:71" x14ac:dyDescent="0.4">
      <c r="E18" s="6">
        <f>E17+1</f>
        <v>1</v>
      </c>
      <c r="F18" s="6">
        <v>6</v>
      </c>
      <c r="G18" s="6" t="str">
        <v>VM2TO1_TIMOFST</v>
      </c>
      <c r="H18" s="6" t="str">
        <v>T</v>
      </c>
      <c r="I18" s="6">
        <v>1</v>
      </c>
      <c r="J18" s="6">
        <f>IF(F18="","",I17+J17)</f>
        <v>1</v>
      </c>
      <c r="K18" s="6" t="str">
        <v>IVDSH_DID_WRI_VM2TO1_TIMOFST</v>
      </c>
      <c r="N18" s="6">
        <v>19</v>
      </c>
      <c r="O18" s="6" t="str">
        <v>CANBUS_STS_5M</v>
      </c>
      <c r="P18" s="6" t="str">
        <v>R</v>
      </c>
      <c r="Q18" s="6">
        <v>1</v>
      </c>
      <c r="R18" s="6">
        <f>IF(P18="R",MAX(R$17:R17,Q$15-1)+1,"")</f>
        <v>24</v>
      </c>
      <c r="S18" s="6">
        <f>IF(OR(R$15=0,N18=""),"",S17)</f>
        <v>0</v>
      </c>
      <c r="T18" s="6">
        <f>IF(OR(N18="",R$15=0),"",T17+Q17)</f>
        <v>1</v>
      </c>
      <c r="U18" s="6" t="str">
        <v>IVDSH_DID_REA_CANBUS_STS_5M</v>
      </c>
      <c r="V18" s="6">
        <v>3</v>
      </c>
      <c r="W18" s="6" t="str">
        <v>VM1TO2_TIMOFST</v>
      </c>
      <c r="X18" s="6" t="str">
        <v>R</v>
      </c>
      <c r="Y18" s="6">
        <v>1</v>
      </c>
      <c r="Z18" s="6">
        <f>IF(X18="R",MAX(Z$17:Z17,Y$15-1)+1,"")</f>
        <v>27</v>
      </c>
      <c r="AA18" s="6">
        <f>IF(OR(Z$15=0,V18=""),"",AA17)</f>
        <v>1</v>
      </c>
      <c r="AB18" s="6">
        <f>IF(OR(V18="",Z$15=0),"",AB17+Y17)</f>
        <v>1</v>
      </c>
      <c r="AC18" s="6" t="str">
        <v>IVDSH_DID_REA_VM1TO2_TIMOFST</v>
      </c>
      <c r="AD18" s="6">
        <v>6</v>
      </c>
      <c r="AE18" s="6" t="str">
        <v>VM2TO1_TIMOFST</v>
      </c>
      <c r="AF18" s="6" t="str">
        <v>T</v>
      </c>
      <c r="AG18" s="6">
        <v>1</v>
      </c>
      <c r="AH18" s="6" t="str">
        <f>IF(AF18="R",MAX(AH$17:AH17,AG$15-1)+1,"")</f>
        <v/>
      </c>
      <c r="AI18" s="6" t="str">
        <f t="shared" ref="AI18:AI81" si="5">IF(OR(AH$15=0,AD18=""),"",AI17)</f>
        <v/>
      </c>
      <c r="AJ18" s="6" t="str">
        <f t="shared" ref="AJ18:AJ81" si="6">IF(OR(AD18="",AH$15=0),"",AJ17+AG17)</f>
        <v/>
      </c>
      <c r="AK18" s="6" t="str">
        <v>IVDSH_DID_REA_VM2TO1_TIMOFST</v>
      </c>
      <c r="AL18" s="6">
        <v>5</v>
      </c>
      <c r="AM18" s="6" t="str">
        <v>VM3TO2_OTA_OFFSTS</v>
      </c>
      <c r="AN18" s="6" t="str">
        <v>R</v>
      </c>
      <c r="AO18" s="6">
        <v>1</v>
      </c>
      <c r="AP18" s="6">
        <f>IF(AN18="R",MAX(AP$17:AP17,AO$15-1)+1,"")</f>
        <v>39</v>
      </c>
      <c r="AQ18" s="6">
        <f>IF(OR(AP$15=0,AL18=""),"",AQ17)</f>
        <v>2</v>
      </c>
      <c r="AR18" s="6">
        <f>IF(OR(AL18="",AP$15=0),"",AR17+AO17)</f>
        <v>1</v>
      </c>
      <c r="AS18" s="6" t="str">
        <v>IVDSH_DID_REA_VM3TO2_OTA_OFFSTS</v>
      </c>
      <c r="AV18" s="6" t="s">
        <v>261</v>
      </c>
      <c r="AW18" s="6">
        <f>R15+Z15+AH15+AP15</f>
        <v>25</v>
      </c>
      <c r="BA18" s="12" t="s">
        <v>262</v>
      </c>
      <c r="BB18" s="11">
        <f>AW18</f>
        <v>25</v>
      </c>
      <c r="BE18" s="11" t="str">
        <f t="shared" si="0"/>
        <v>#define IVDSH_DID_WRI_VM2TO1_TIMOFST             (1U)</v>
      </c>
      <c r="BF18" s="11" t="str">
        <f t="shared" si="1"/>
        <v>#define IVDSH_DID_REA_CANBUS_STS_5M              (24U)</v>
      </c>
      <c r="BG18" s="11" t="str">
        <f t="shared" si="2"/>
        <v>#define IVDSH_DID_REA_VM1TO2_TIMOFST             (27U)</v>
      </c>
      <c r="BH18" s="11" t="str">
        <f t="shared" si="3"/>
        <v/>
      </c>
      <c r="BI18" s="11" t="str">
        <f t="shared" si="4"/>
        <v>#define IVDSH_DID_REA_VM3TO2_OTA_OFFSTS          (39U)</v>
      </c>
      <c r="BJ18" s="11"/>
      <c r="BK18" s="11" t="str">
        <f t="shared" ref="BK18:BK81" si="7">IF(F18="","","    {(U2)"&amp;J18&amp;"U,"&amp;REPT(" ",9-LEN(J18))&amp;"(U2)"&amp;I18&amp;"U,"&amp;REPT(" ",10-LEN(I18))&amp;"(U2)IVDSH_FQ_CH_WRI  },     /* "&amp;K18&amp;REPT(" ",32-LEN(K18))&amp;"*/")</f>
        <v xml:space="preserve">    {(U2)1U,        (U2)1U,         (U2)IVDSH_FQ_CH_WRI  },     /* IVDSH_DID_WRI_VM2TO1_TIMOFST    */</v>
      </c>
      <c r="BL18" s="11" t="str">
        <f t="shared" ref="BL18:BL81" si="8">IF(R18="","","    {(U2)"&amp;T18&amp;"U,"&amp;REPT(" ",9-LEN(T18))&amp;"(U2)"&amp;Q18&amp;"U,"&amp;REPT(" ",10-LEN(Q18))&amp;"(U2)IVDSH_FQ_CH_REA_"&amp;S18&amp;"},     /* "&amp;U18&amp;REPT(" ",32-LEN(U18))&amp;"*/")</f>
        <v xml:space="preserve">    {(U2)1U,        (U2)1U,         (U2)IVDSH_FQ_CH_REA_0},     /* IVDSH_DID_REA_CANBUS_STS_5M     */</v>
      </c>
      <c r="BM18" s="11" t="str">
        <f t="shared" ref="BM18:BM81" si="9">IF(Z18="","","    {(U2)"&amp;AB18&amp;"U,"&amp;REPT(" ",9-LEN(AB18))&amp;"(U2)"&amp;Y18&amp;"U,"&amp;REPT(" ",10-LEN(Y18))&amp;"(U2)IVDSH_FQ_CH_REA_"&amp;AA18&amp;"},     /* "&amp;AC18&amp;REPT(" ",32-LEN(AC18))&amp;"*/")</f>
        <v xml:space="preserve">    {(U2)1U,        (U2)1U,         (U2)IVDSH_FQ_CH_REA_1},     /* IVDSH_DID_REA_VM1TO2_TIMOFST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IVDSH_DID_REA_VM3TO2_OTA_OFFSTS */</v>
      </c>
      <c r="BP18" s="11" t="str">
        <v>#define IVDSH_FQ_CH_REA_1                        (1U)</v>
      </c>
      <c r="BQ18" s="11" t="str">
        <v>#define IVDSH_WA_NWORD_REA_1                     (19U)</v>
      </c>
      <c r="BR18" s="11" t="str">
        <f>IF(AW36="","","    {")</f>
        <v xml:space="preserve">    {</v>
      </c>
      <c r="BS18" s="11" t="str">
        <f>IF(AW26&lt;&gt;"","    {","")</f>
        <v xml:space="preserve">    {</v>
      </c>
    </row>
    <row r="19" spans="5:71" x14ac:dyDescent="0.4">
      <c r="E19" s="6">
        <f t="shared" ref="E19:E82" si="12">E18+1</f>
        <v>2</v>
      </c>
      <c r="F19" s="6">
        <v>8</v>
      </c>
      <c r="G19" s="6" t="str">
        <v>VM2TO1_TIMFMT</v>
      </c>
      <c r="H19" s="6" t="str">
        <v>T</v>
      </c>
      <c r="I19" s="6">
        <v>1</v>
      </c>
      <c r="J19" s="6">
        <f>IF(F19="","",I18+J18)</f>
        <v>2</v>
      </c>
      <c r="K19" s="6" t="str">
        <v>IVDSH_DID_WRI_VM2TO1_TIMFMT</v>
      </c>
      <c r="N19" s="6">
        <v>20</v>
      </c>
      <c r="O19" s="6" t="str">
        <v>CANBUS_STS_2M2</v>
      </c>
      <c r="P19" s="6" t="str">
        <v>R</v>
      </c>
      <c r="Q19" s="6">
        <v>1</v>
      </c>
      <c r="R19" s="6">
        <f>IF(P19="R",MAX(R$17:R18,Q$15-1)+1,"")</f>
        <v>25</v>
      </c>
      <c r="S19" s="6">
        <f t="shared" ref="S19:S82" si="13">IF(OR(R$15=0,N19=""),"",S18)</f>
        <v>0</v>
      </c>
      <c r="T19" s="6">
        <f t="shared" ref="T19:T82" si="14">IF(OR(N19="",R$15=0),"",T18+Q18)</f>
        <v>2</v>
      </c>
      <c r="U19" s="6" t="str">
        <v>IVDSH_DID_REA_CANBUS_STS_2M2</v>
      </c>
      <c r="V19" s="6">
        <v>7</v>
      </c>
      <c r="W19" s="6" t="str">
        <v>VM1TO2_TIMFMT</v>
      </c>
      <c r="X19" s="6" t="str">
        <v>R</v>
      </c>
      <c r="Y19" s="6">
        <v>1</v>
      </c>
      <c r="Z19" s="6">
        <f>IF(X19="R",MAX(Z$17:Z18,Y$15-1)+1,"")</f>
        <v>28</v>
      </c>
      <c r="AA19" s="6">
        <f t="shared" ref="AA19:AA82" si="15">IF(OR(Z$15=0,V19=""),"",AA18)</f>
        <v>1</v>
      </c>
      <c r="AB19" s="6">
        <f t="shared" ref="AB19:AB82" si="16">IF(OR(V19="",Z$15=0),"",AB18+Y18)</f>
        <v>2</v>
      </c>
      <c r="AC19" s="6" t="str">
        <v>IVDSH_DID_REA_VM1TO2_TIMFMT</v>
      </c>
      <c r="AD19" s="6">
        <v>8</v>
      </c>
      <c r="AE19" s="6" t="str">
        <v>VM2TO1_TIMFMT</v>
      </c>
      <c r="AF19" s="6" t="str">
        <v>T</v>
      </c>
      <c r="AG19" s="6">
        <v>1</v>
      </c>
      <c r="AH19" s="6" t="str">
        <f>IF(AF19="R",MAX(AH$17:AH18,AG$15-1)+1,"")</f>
        <v/>
      </c>
      <c r="AI19" s="6" t="str">
        <f t="shared" si="5"/>
        <v/>
      </c>
      <c r="AJ19" s="6" t="str">
        <f t="shared" si="6"/>
        <v/>
      </c>
      <c r="AK19" s="6" t="str">
        <v>IVDSH_DID_REA_VM2TO1_TIMFMT</v>
      </c>
      <c r="AL19" s="6">
        <v>24</v>
      </c>
      <c r="AM19" s="6" t="str">
        <v>VM3TO2_BOOTLOG_INF</v>
      </c>
      <c r="AN19" s="6" t="str">
        <v>R</v>
      </c>
      <c r="AO19" s="6">
        <v>1</v>
      </c>
      <c r="AP19" s="6">
        <f>IF(AN19="R",MAX(AP$17:AP18,AO$15-1)+1,"")</f>
        <v>40</v>
      </c>
      <c r="AQ19" s="6">
        <f t="shared" ref="AQ19:AQ82" si="17">IF(OR(AP$15=0,AL19=""),"",AQ18)</f>
        <v>2</v>
      </c>
      <c r="AR19" s="6">
        <f t="shared" ref="AR19:AR82" si="18">IF(OR(AL19="",AP$15=0),"",AR18+AO18)</f>
        <v>2</v>
      </c>
      <c r="AS19" s="6" t="str">
        <v>IVDSH_DID_REA_VM3TO2_BOOTLOG_INF</v>
      </c>
      <c r="BA19" s="12" t="s">
        <v>263</v>
      </c>
      <c r="BB19" s="11">
        <f>AW20</f>
        <v>4</v>
      </c>
      <c r="BE19" s="11" t="str">
        <f t="shared" si="0"/>
        <v>#define IVDSH_DID_WRI_VM2TO1_TIMFMT              (2U)</v>
      </c>
      <c r="BF19" s="11" t="str">
        <f t="shared" si="1"/>
        <v>#define IVDSH_DID_REA_CANBUS_STS_2M2             (25U)</v>
      </c>
      <c r="BG19" s="11" t="str">
        <f t="shared" si="2"/>
        <v>#define IVDSH_DID_REA_VM1TO2_TIMFMT              (28U)</v>
      </c>
      <c r="BH19" s="11" t="str">
        <f t="shared" si="3"/>
        <v/>
      </c>
      <c r="BI19" s="11" t="str">
        <f t="shared" si="4"/>
        <v>#define IVDSH_DID_REA_VM3TO2_BOOTLOG_INF         (40U)</v>
      </c>
      <c r="BJ19" s="11"/>
      <c r="BK19" s="11" t="str">
        <f t="shared" si="7"/>
        <v xml:space="preserve">    {(U2)2U,        (U2)1U,         (U2)IVDSH_FQ_CH_WRI  },     /* IVDSH_DID_WRI_VM2TO1_TIMFMT     */</v>
      </c>
      <c r="BL19" s="11" t="str">
        <f t="shared" si="8"/>
        <v xml:space="preserve">    {(U2)2U,        (U2)1U,         (U2)IVDSH_FQ_CH_REA_0},     /* IVDSH_DID_REA_CANBUS_STS_2M2    */</v>
      </c>
      <c r="BM19" s="11" t="str">
        <f t="shared" si="9"/>
        <v xml:space="preserve">    {(U2)2U,        (U2)1U,         (U2)IVDSH_FQ_CH_REA_1},     /* IVDSH_DID_REA_VM1TO2_TIMFMT     */</v>
      </c>
      <c r="BN19" s="11" t="str">
        <f t="shared" si="10"/>
        <v/>
      </c>
      <c r="BO19" s="11" t="str">
        <f t="shared" si="11"/>
        <v xml:space="preserve">    {(U2)2U,        (U2)1U,         (U2)IVDSH_FQ_CH_REA_2},     /* IVDSH_DID_REA_VM3TO2_BOOTLOG_INF*/</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9</v>
      </c>
      <c r="G20" s="6" t="str">
        <v>VM2TO1_DSPTIM</v>
      </c>
      <c r="H20" s="6" t="str">
        <v>T</v>
      </c>
      <c r="I20" s="6">
        <v>1</v>
      </c>
      <c r="J20" s="6">
        <f t="shared" ref="J20:J83" si="19">IF(F20="","",I19+J19)</f>
        <v>3</v>
      </c>
      <c r="K20" s="6" t="str">
        <v>IVDSH_DID_WRI_VM2TO1_DSPTIM</v>
      </c>
      <c r="N20" s="6">
        <v>21</v>
      </c>
      <c r="O20" s="6" t="str">
        <v>CANBUS_STS_LCAN</v>
      </c>
      <c r="P20" s="6" t="str">
        <v>R</v>
      </c>
      <c r="Q20" s="6">
        <v>1</v>
      </c>
      <c r="R20" s="6">
        <f>IF(P20="R",MAX(R$17:R19,Q$15-1)+1,"")</f>
        <v>26</v>
      </c>
      <c r="S20" s="6">
        <f t="shared" si="13"/>
        <v>0</v>
      </c>
      <c r="T20" s="6">
        <f t="shared" si="14"/>
        <v>3</v>
      </c>
      <c r="U20" s="6" t="str">
        <v>IVDSH_DID_REA_CANBUS_STS_LCAN</v>
      </c>
      <c r="V20" s="6">
        <v>11</v>
      </c>
      <c r="W20" s="6" t="str">
        <v>VM1TO2_CAL</v>
      </c>
      <c r="X20" s="6" t="str">
        <v>R</v>
      </c>
      <c r="Y20" s="6">
        <v>1</v>
      </c>
      <c r="Z20" s="6">
        <f>IF(X20="R",MAX(Z$17:Z19,Y$15-1)+1,"")</f>
        <v>29</v>
      </c>
      <c r="AA20" s="6">
        <f t="shared" si="15"/>
        <v>1</v>
      </c>
      <c r="AB20" s="6">
        <f t="shared" si="16"/>
        <v>3</v>
      </c>
      <c r="AC20" s="6" t="str">
        <v>IVDSH_DID_REA_VM1TO2_CAL</v>
      </c>
      <c r="AD20" s="6">
        <v>9</v>
      </c>
      <c r="AE20" s="6" t="str">
        <v>VM2TO1_DSPTIM</v>
      </c>
      <c r="AF20" s="6" t="str">
        <v>T</v>
      </c>
      <c r="AG20" s="6">
        <v>1</v>
      </c>
      <c r="AH20" s="6" t="str">
        <f>IF(AF20="R",MAX(AH$17:AH19,AG$15-1)+1,"")</f>
        <v/>
      </c>
      <c r="AI20" s="6" t="str">
        <f t="shared" si="5"/>
        <v/>
      </c>
      <c r="AJ20" s="6" t="str">
        <f t="shared" si="6"/>
        <v/>
      </c>
      <c r="AK20" s="6" t="str">
        <v>IVDSH_DID_REA_VM2TO1_DSPTIM</v>
      </c>
      <c r="AL20" s="6">
        <v>26</v>
      </c>
      <c r="AM20" s="6" t="str">
        <v>VM3TO12_RESTART</v>
      </c>
      <c r="AN20" s="6" t="str">
        <v>R</v>
      </c>
      <c r="AO20" s="6">
        <v>1</v>
      </c>
      <c r="AP20" s="6">
        <f>IF(AN20="R",MAX(AP$17:AP19,AO$15-1)+1,"")</f>
        <v>41</v>
      </c>
      <c r="AQ20" s="6">
        <f t="shared" si="17"/>
        <v>2</v>
      </c>
      <c r="AR20" s="6">
        <f t="shared" si="18"/>
        <v>3</v>
      </c>
      <c r="AS20" s="6" t="str">
        <v>IVDSH_DID_REA_VM3TO12_RESTART</v>
      </c>
      <c r="AV20" s="6" t="s">
        <v>264</v>
      </c>
      <c r="AW20" s="6">
        <f>MAX(AW22:AW26)+1</f>
        <v>4</v>
      </c>
      <c r="BA20" s="12" t="s">
        <v>265</v>
      </c>
      <c r="BB20" s="11">
        <f>AW21</f>
        <v>3</v>
      </c>
      <c r="BE20" s="11" t="str">
        <f t="shared" si="0"/>
        <v>#define IVDSH_DID_WRI_VM2TO1_DSPTIM              (3U)</v>
      </c>
      <c r="BF20" s="11" t="str">
        <f t="shared" si="1"/>
        <v>#define IVDSH_DID_REA_CANBUS_STS_LCAN            (26U)</v>
      </c>
      <c r="BG20" s="11" t="str">
        <f t="shared" si="2"/>
        <v>#define IVDSH_DID_REA_VM1TO2_CAL                 (29U)</v>
      </c>
      <c r="BH20" s="11" t="str">
        <f t="shared" si="3"/>
        <v/>
      </c>
      <c r="BI20" s="11" t="str">
        <f t="shared" si="4"/>
        <v>#define IVDSH_DID_REA_VM3TO12_RESTART            (41U)</v>
      </c>
      <c r="BJ20" s="11"/>
      <c r="BK20" s="11" t="str">
        <f t="shared" si="7"/>
        <v xml:space="preserve">    {(U2)3U,        (U2)1U,         (U2)IVDSH_FQ_CH_WRI  },     /* IVDSH_DID_WRI_VM2TO1_DSPTIM     */</v>
      </c>
      <c r="BL20" s="11" t="str">
        <f t="shared" si="8"/>
        <v xml:space="preserve">    {(U2)3U,        (U2)1U,         (U2)IVDSH_FQ_CH_REA_0},     /* IVDSH_DID_REA_CANBUS_STS_LCAN   */</v>
      </c>
      <c r="BM20" s="11" t="str">
        <f t="shared" si="9"/>
        <v xml:space="preserve">    {(U2)3U,        (U2)1U,         (U2)IVDSH_FQ_CH_REA_1},     /* IVDSH_DID_REA_VM1TO2_CAL        */</v>
      </c>
      <c r="BN20" s="11" t="str">
        <f t="shared" si="10"/>
        <v/>
      </c>
      <c r="BO20" s="11" t="str">
        <f t="shared" si="11"/>
        <v xml:space="preserve">    {(U2)3U,        (U2)1U,         (U2)IVDSH_FQ_CH_REA_2},     /* IVDSH_DID_REA_VM3TO12_RESTART   */</v>
      </c>
      <c r="BP20" s="11" t="str">
        <v>#define IVDSH_FQ_CH_REA_2                        (2U)</v>
      </c>
      <c r="BQ20" s="11" t="str">
        <v>#define IVDSH_WA_NWORD_REA_2                     (12U)</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10</v>
      </c>
      <c r="G21" s="6" t="str">
        <v>VM2TO1_DSPCAL</v>
      </c>
      <c r="H21" s="6" t="str">
        <v>T</v>
      </c>
      <c r="I21" s="6">
        <v>1</v>
      </c>
      <c r="J21" s="6">
        <f t="shared" si="19"/>
        <v>4</v>
      </c>
      <c r="K21" s="6" t="str">
        <v>IVDSH_DID_WRI_VM2TO1_DSPCAL</v>
      </c>
      <c r="R21" s="6" t="str">
        <f>IF(P21="R",MAX(R$17:R20,Q$15-1)+1,"")</f>
        <v/>
      </c>
      <c r="S21" s="6" t="str">
        <f t="shared" si="13"/>
        <v/>
      </c>
      <c r="T21" s="6" t="str">
        <f t="shared" si="14"/>
        <v/>
      </c>
      <c r="V21" s="6">
        <v>13</v>
      </c>
      <c r="W21" s="6" t="str">
        <v>VM1TO2_CALDEF</v>
      </c>
      <c r="X21" s="6" t="str">
        <v>R</v>
      </c>
      <c r="Y21" s="6">
        <v>1</v>
      </c>
      <c r="Z21" s="6">
        <f>IF(X21="R",MAX(Z$17:Z20,Y$15-1)+1,"")</f>
        <v>30</v>
      </c>
      <c r="AA21" s="6">
        <f t="shared" si="15"/>
        <v>1</v>
      </c>
      <c r="AB21" s="6">
        <f t="shared" si="16"/>
        <v>4</v>
      </c>
      <c r="AC21" s="6" t="str">
        <v>IVDSH_DID_REA_VM1TO2_CALDEF</v>
      </c>
      <c r="AD21" s="6">
        <v>10</v>
      </c>
      <c r="AE21" s="6" t="str">
        <v>VM2TO1_DSPCAL</v>
      </c>
      <c r="AF21" s="6" t="str">
        <v>T</v>
      </c>
      <c r="AG21" s="6">
        <v>1</v>
      </c>
      <c r="AH21" s="6" t="str">
        <f>IF(AF21="R",MAX(AH$17:AH20,AG$15-1)+1,"")</f>
        <v/>
      </c>
      <c r="AI21" s="6" t="str">
        <f t="shared" si="5"/>
        <v/>
      </c>
      <c r="AJ21" s="6" t="str">
        <f t="shared" si="6"/>
        <v/>
      </c>
      <c r="AK21" s="6" t="str">
        <v>IVDSH_DID_REA_VM2TO1_DSPCAL</v>
      </c>
      <c r="AL21" s="6">
        <v>29</v>
      </c>
      <c r="AM21" s="6" t="str">
        <v>VM3TO2_BOOT_CNT</v>
      </c>
      <c r="AN21" s="6" t="str">
        <v>R</v>
      </c>
      <c r="AO21" s="6">
        <v>1</v>
      </c>
      <c r="AP21" s="6">
        <f>IF(AN21="R",MAX(AP$17:AP20,AO$15-1)+1,"")</f>
        <v>42</v>
      </c>
      <c r="AQ21" s="6">
        <f t="shared" si="17"/>
        <v>2</v>
      </c>
      <c r="AR21" s="6">
        <f t="shared" si="18"/>
        <v>4</v>
      </c>
      <c r="AS21" s="6" t="str">
        <v>IVDSH_DID_REA_VM3TO2_BOOT_CNT</v>
      </c>
      <c r="AV21" s="6" t="s">
        <v>266</v>
      </c>
      <c r="AW21" s="6">
        <f>COUNTIF(AW22:AW25,"&gt;=0")</f>
        <v>3</v>
      </c>
      <c r="AX21" s="30" t="s">
        <v>267</v>
      </c>
      <c r="BA21" s="12" t="s">
        <v>268</v>
      </c>
      <c r="BB21" s="11">
        <f>AW29</f>
        <v>24</v>
      </c>
      <c r="BE21" s="11" t="str">
        <f t="shared" si="0"/>
        <v>#define IVDSH_DID_WRI_VM2TO1_DSPCAL              (4U)</v>
      </c>
      <c r="BF21" s="11" t="str">
        <f t="shared" si="1"/>
        <v/>
      </c>
      <c r="BG21" s="11" t="str">
        <f t="shared" si="2"/>
        <v>#define IVDSH_DID_REA_VM1TO2_CALDEF              (30U)</v>
      </c>
      <c r="BH21" s="11" t="str">
        <f t="shared" si="3"/>
        <v/>
      </c>
      <c r="BI21" s="11" t="str">
        <f t="shared" si="4"/>
        <v>#define IVDSH_DID_REA_VM3TO2_BOOT_CNT            (42U)</v>
      </c>
      <c r="BJ21" s="11"/>
      <c r="BK21" s="11" t="str">
        <f t="shared" si="7"/>
        <v xml:space="preserve">    {(U2)4U,        (U2)1U,         (U2)IVDSH_FQ_CH_WRI  },     /* IVDSH_DID_WRI_VM2TO1_DSPCAL     */</v>
      </c>
      <c r="BL21" s="11" t="str">
        <f t="shared" si="8"/>
        <v/>
      </c>
      <c r="BM21" s="11" t="str">
        <f t="shared" si="9"/>
        <v xml:space="preserve">    {(U2)4U,        (U2)1U,         (U2)IVDSH_FQ_CH_REA_1},     /* IVDSH_DID_REA_VM1TO2_CALDEF     */</v>
      </c>
      <c r="BN21" s="11" t="str">
        <f t="shared" si="10"/>
        <v/>
      </c>
      <c r="BO21" s="11" t="str">
        <f t="shared" si="11"/>
        <v xml:space="preserve">    {(U2)4U,        (U2)1U,         (U2)IVDSH_FQ_CH_REA_2},     /* IVDSH_DID_REA_VM3TO2_BOOT_CNT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x14ac:dyDescent="0.4">
      <c r="E22" s="6">
        <f t="shared" si="12"/>
        <v>5</v>
      </c>
      <c r="F22" s="6">
        <v>12</v>
      </c>
      <c r="G22" s="6" t="str">
        <v>VM2TO1_CAL</v>
      </c>
      <c r="H22" s="6" t="str">
        <v>T</v>
      </c>
      <c r="I22" s="6">
        <v>1</v>
      </c>
      <c r="J22" s="6">
        <f t="shared" si="19"/>
        <v>5</v>
      </c>
      <c r="K22" s="6" t="str">
        <v>IVDSH_DID_WRI_VM2TO1_CAL</v>
      </c>
      <c r="R22" s="6" t="str">
        <f>IF(P22="R",MAX(R$17:R21,Q$15-1)+1,"")</f>
        <v/>
      </c>
      <c r="S22" s="6" t="str">
        <f t="shared" si="13"/>
        <v/>
      </c>
      <c r="T22" s="6" t="str">
        <f t="shared" si="14"/>
        <v/>
      </c>
      <c r="V22" s="6">
        <v>14</v>
      </c>
      <c r="W22" s="6" t="str">
        <v>VM1TO2_CALMIN</v>
      </c>
      <c r="X22" s="6" t="str">
        <v>R</v>
      </c>
      <c r="Y22" s="6">
        <v>1</v>
      </c>
      <c r="Z22" s="6">
        <f>IF(X22="R",MAX(Z$17:Z21,Y$15-1)+1,"")</f>
        <v>31</v>
      </c>
      <c r="AA22" s="6">
        <f t="shared" si="15"/>
        <v>1</v>
      </c>
      <c r="AB22" s="6">
        <f t="shared" si="16"/>
        <v>5</v>
      </c>
      <c r="AC22" s="6" t="str">
        <v>IVDSH_DID_REA_VM1TO2_CALMIN</v>
      </c>
      <c r="AD22" s="6">
        <v>12</v>
      </c>
      <c r="AE22" s="6" t="str">
        <v>VM2TO1_CAL</v>
      </c>
      <c r="AF22" s="6" t="str">
        <v>T</v>
      </c>
      <c r="AG22" s="6">
        <v>1</v>
      </c>
      <c r="AH22" s="6" t="str">
        <f>IF(AF22="R",MAX(AH$17:AH21,AG$15-1)+1,"")</f>
        <v/>
      </c>
      <c r="AI22" s="6" t="str">
        <f t="shared" si="5"/>
        <v/>
      </c>
      <c r="AJ22" s="6" t="str">
        <f t="shared" si="6"/>
        <v/>
      </c>
      <c r="AK22" s="6" t="str">
        <v>IVDSH_DID_REA_VM2TO1_CAL</v>
      </c>
      <c r="AL22" s="6">
        <v>30</v>
      </c>
      <c r="AM22" s="6" t="str">
        <v>VM3TO2_BOOT_TIME</v>
      </c>
      <c r="AN22" s="6" t="str">
        <v>R</v>
      </c>
      <c r="AO22" s="6">
        <v>1</v>
      </c>
      <c r="AP22" s="6">
        <f>IF(AN22="R",MAX(AP$17:AP21,AO$15-1)+1,"")</f>
        <v>43</v>
      </c>
      <c r="AQ22" s="6">
        <f t="shared" si="17"/>
        <v>2</v>
      </c>
      <c r="AR22" s="6">
        <f t="shared" si="18"/>
        <v>5</v>
      </c>
      <c r="AS22" s="6" t="str">
        <v>IVDSH_DID_REA_VM3TO2_BOOT_TIME</v>
      </c>
      <c r="AV22" s="6" t="str">
        <f>"IVDSH_FQ_CH_REA_"&amp;COUNTIF(AW$22:AW22,"&gt;=0")-1</f>
        <v>IVDSH_FQ_CH_REA_0</v>
      </c>
      <c r="AW22" s="6">
        <f>IF(AW30="","",COUNTIF(AW$30:AW30,"&gt;0")-1)</f>
        <v>0</v>
      </c>
      <c r="AX22" s="31">
        <v>0</v>
      </c>
      <c r="BA22" s="12" t="s">
        <v>269</v>
      </c>
      <c r="BB22" s="11">
        <f>AW28</f>
        <v>94</v>
      </c>
      <c r="BE22" s="11" t="str">
        <f t="shared" si="0"/>
        <v>#define IVDSH_DID_WRI_VM2TO1_CAL                 (5U)</v>
      </c>
      <c r="BF22" s="11" t="str">
        <f t="shared" si="1"/>
        <v/>
      </c>
      <c r="BG22" s="11" t="str">
        <f t="shared" si="2"/>
        <v>#define IVDSH_DID_REA_VM1TO2_CALMIN              (31U)</v>
      </c>
      <c r="BH22" s="11" t="str">
        <f t="shared" si="3"/>
        <v/>
      </c>
      <c r="BI22" s="11" t="str">
        <f t="shared" si="4"/>
        <v>#define IVDSH_DID_REA_VM3TO2_BOOT_TIME           (43U)</v>
      </c>
      <c r="BJ22" s="11"/>
      <c r="BK22" s="11" t="str">
        <f t="shared" si="7"/>
        <v xml:space="preserve">    {(U2)5U,        (U2)1U,         (U2)IVDSH_FQ_CH_WRI  },     /* IVDSH_DID_WRI_VM2TO1_CAL        */</v>
      </c>
      <c r="BL22" s="11" t="str">
        <f t="shared" si="8"/>
        <v/>
      </c>
      <c r="BM22" s="11" t="str">
        <f t="shared" si="9"/>
        <v xml:space="preserve">    {(U2)5U,        (U2)1U,         (U2)IVDSH_FQ_CH_REA_1},     /* IVDSH_DID_REA_VM1TO2_CALMIN     */</v>
      </c>
      <c r="BN22" s="11" t="str">
        <f t="shared" si="10"/>
        <v/>
      </c>
      <c r="BO22" s="11" t="str">
        <f t="shared" si="11"/>
        <v xml:space="preserve">    {(U2)5U,        (U2)1U,         (U2)IVDSH_FQ_CH_REA_2},     /* IVDSH_DID_REA_VM3TO2_BOOT_TIME  */</v>
      </c>
      <c r="BP22" s="11"/>
      <c r="BQ22" s="11"/>
      <c r="BR22" s="28" t="str">
        <f>IF(AW36="","","    },")</f>
        <v xml:space="preserve">    },</v>
      </c>
      <c r="BS22" s="11" t="str">
        <f>IF(AW26&lt;&gt;"","    },","")</f>
        <v xml:space="preserve">    },</v>
      </c>
    </row>
    <row r="23" spans="5:71" x14ac:dyDescent="0.4">
      <c r="E23" s="6">
        <f t="shared" si="12"/>
        <v>6</v>
      </c>
      <c r="F23" s="6">
        <v>16</v>
      </c>
      <c r="G23" s="6" t="str">
        <v>VM2TO1_CAM_DIAP</v>
      </c>
      <c r="H23" s="6" t="str">
        <v>T</v>
      </c>
      <c r="I23" s="6">
        <v>1</v>
      </c>
      <c r="J23" s="6">
        <f t="shared" si="19"/>
        <v>6</v>
      </c>
      <c r="K23" s="6" t="str">
        <v>IVDSH_DID_WRI_VM2TO1_CAM_DIAP</v>
      </c>
      <c r="R23" s="6" t="str">
        <f>IF(P23="R",MAX(R$17:R22,Q$15-1)+1,"")</f>
        <v/>
      </c>
      <c r="S23" s="6" t="str">
        <f t="shared" si="13"/>
        <v/>
      </c>
      <c r="T23" s="6" t="str">
        <f t="shared" si="14"/>
        <v/>
      </c>
      <c r="V23" s="6">
        <v>15</v>
      </c>
      <c r="W23" s="6" t="str">
        <v>VM1TO3_SPI_FAIL</v>
      </c>
      <c r="X23" s="6" t="str">
        <v>-</v>
      </c>
      <c r="Y23" s="6">
        <v>1</v>
      </c>
      <c r="Z23" s="6" t="str">
        <f>IF(X23="R",MAX(Z$17:Z22,Y$15-1)+1,"")</f>
        <v/>
      </c>
      <c r="AA23" s="6">
        <f t="shared" si="15"/>
        <v>1</v>
      </c>
      <c r="AB23" s="6">
        <f t="shared" si="16"/>
        <v>6</v>
      </c>
      <c r="AC23" s="6" t="str">
        <v>IVDSH_DID_REA_VM1TO3_SPI_FAIL</v>
      </c>
      <c r="AD23" s="6">
        <v>16</v>
      </c>
      <c r="AE23" s="6" t="str">
        <v>VM2TO1_CAM_DIAP</v>
      </c>
      <c r="AF23" s="6" t="str">
        <v>T</v>
      </c>
      <c r="AG23" s="6">
        <v>1</v>
      </c>
      <c r="AH23" s="6" t="str">
        <f>IF(AF23="R",MAX(AH$17:AH22,AG$15-1)+1,"")</f>
        <v/>
      </c>
      <c r="AI23" s="6" t="str">
        <f t="shared" si="5"/>
        <v/>
      </c>
      <c r="AJ23" s="6" t="str">
        <f t="shared" si="6"/>
        <v/>
      </c>
      <c r="AK23" s="6" t="str">
        <v>IVDSH_DID_REA_VM2TO1_CAM_DIAP</v>
      </c>
      <c r="AL23" s="6">
        <v>31</v>
      </c>
      <c r="AM23" s="6" t="str">
        <v>GPS_STS</v>
      </c>
      <c r="AN23" s="6" t="str">
        <v>R</v>
      </c>
      <c r="AO23" s="6">
        <v>1</v>
      </c>
      <c r="AP23" s="6">
        <f>IF(AN23="R",MAX(AP$17:AP22,AO$15-1)+1,"")</f>
        <v>44</v>
      </c>
      <c r="AQ23" s="6">
        <f t="shared" si="17"/>
        <v>2</v>
      </c>
      <c r="AR23" s="6">
        <f t="shared" si="18"/>
        <v>6</v>
      </c>
      <c r="AS23" s="6" t="str">
        <v>IVDSH_DID_REA_GPS_STS</v>
      </c>
      <c r="AV23" s="6" t="str">
        <f>"IVDSH_FQ_CH_REA_"&amp;COUNTIF(AW$22:AW23,"&gt;=0")-1</f>
        <v>IVDSH_FQ_CH_REA_1</v>
      </c>
      <c r="AW23" s="6">
        <f>IF(AW31="","",COUNTIF(AW$30:AW31,"&gt;0")-1)</f>
        <v>1</v>
      </c>
      <c r="AX23" s="31">
        <v>1</v>
      </c>
      <c r="BA23" s="12" t="s">
        <v>270</v>
      </c>
      <c r="BB23" s="11" t="str">
        <f>IF(AW29&lt;&gt;0,"&amp;st_sp_IVDSH_FQ_CH[IVDSH_FQ_CH_WRI]","vdp_PTR_NA")</f>
        <v>&amp;st_sp_IVDSH_FQ_CH[IVDSH_FQ_CH_WRI]</v>
      </c>
      <c r="BE23" s="11" t="str">
        <f t="shared" si="0"/>
        <v>#define IVDSH_DID_WRI_VM2TO1_CAM_DIAP            (6U)</v>
      </c>
      <c r="BF23" s="11" t="str">
        <f t="shared" si="1"/>
        <v/>
      </c>
      <c r="BG23" s="11" t="str">
        <f t="shared" si="2"/>
        <v/>
      </c>
      <c r="BH23" s="11" t="str">
        <f t="shared" si="3"/>
        <v/>
      </c>
      <c r="BI23" s="11" t="str">
        <f t="shared" si="4"/>
        <v>#define IVDSH_DID_REA_GPS_STS                    (44U)</v>
      </c>
      <c r="BJ23" s="11"/>
      <c r="BK23" s="11" t="str">
        <f t="shared" si="7"/>
        <v xml:space="preserve">    {(U2)6U,        (U2)1U,         (U2)IVDSH_FQ_CH_WRI  },     /* IVDSH_DID_WRI_VM2TO1_CAM_DIAP   */</v>
      </c>
      <c r="BL23" s="11" t="str">
        <f t="shared" si="8"/>
        <v/>
      </c>
      <c r="BM23" s="11" t="str">
        <f t="shared" si="9"/>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x14ac:dyDescent="0.4">
      <c r="E24" s="6">
        <f t="shared" si="12"/>
        <v>7</v>
      </c>
      <c r="F24" s="6">
        <v>23</v>
      </c>
      <c r="G24" s="6" t="str">
        <v>VM2TO3_WHLINI_INF</v>
      </c>
      <c r="H24" s="6" t="str">
        <v>T</v>
      </c>
      <c r="I24" s="6">
        <v>1</v>
      </c>
      <c r="J24" s="6">
        <f t="shared" si="19"/>
        <v>7</v>
      </c>
      <c r="K24" s="6" t="str">
        <v>IVDSH_DID_WRI_VM2TO3_WHLINI_INF</v>
      </c>
      <c r="R24" s="6" t="str">
        <f>IF(P24="R",MAX(R$17:R23,Q$15-1)+1,"")</f>
        <v/>
      </c>
      <c r="S24" s="6" t="str">
        <f t="shared" si="13"/>
        <v/>
      </c>
      <c r="T24" s="6" t="str">
        <f t="shared" si="14"/>
        <v/>
      </c>
      <c r="V24" s="6">
        <v>17</v>
      </c>
      <c r="W24" s="6" t="str">
        <v>VM1TO2_CAM_DIAP</v>
      </c>
      <c r="X24" s="6" t="str">
        <v>R</v>
      </c>
      <c r="Y24" s="6">
        <v>1</v>
      </c>
      <c r="Z24" s="6">
        <f>IF(X24="R",MAX(Z$17:Z23,Y$15-1)+1,"")</f>
        <v>32</v>
      </c>
      <c r="AA24" s="6">
        <f t="shared" si="15"/>
        <v>1</v>
      </c>
      <c r="AB24" s="6">
        <f t="shared" si="16"/>
        <v>7</v>
      </c>
      <c r="AC24" s="6" t="str">
        <v>IVDSH_DID_REA_VM1TO2_CAM_DIAP</v>
      </c>
      <c r="AD24" s="6">
        <v>23</v>
      </c>
      <c r="AE24" s="6" t="str">
        <v>VM2TO3_WHLINI_INF</v>
      </c>
      <c r="AF24" s="6" t="str">
        <v>T</v>
      </c>
      <c r="AG24" s="6">
        <v>1</v>
      </c>
      <c r="AH24" s="6" t="str">
        <f>IF(AF24="R",MAX(AH$17:AH23,AG$15-1)+1,"")</f>
        <v/>
      </c>
      <c r="AI24" s="6" t="str">
        <f t="shared" si="5"/>
        <v/>
      </c>
      <c r="AJ24" s="6" t="str">
        <f t="shared" si="6"/>
        <v/>
      </c>
      <c r="AK24" s="6" t="str">
        <v>IVDSH_DID_REA_VM2TO3_WHLINI_INF</v>
      </c>
      <c r="AL24" s="6">
        <v>49</v>
      </c>
      <c r="AM24" s="6" t="str">
        <v>VM3TO2_WHLINI_INF</v>
      </c>
      <c r="AN24" s="6" t="str">
        <v>R</v>
      </c>
      <c r="AO24" s="6">
        <v>1</v>
      </c>
      <c r="AP24" s="6">
        <f>IF(AN24="R",MAX(AP$17:AP23,AO$15-1)+1,"")</f>
        <v>45</v>
      </c>
      <c r="AQ24" s="6">
        <f t="shared" si="17"/>
        <v>2</v>
      </c>
      <c r="AR24" s="6">
        <f t="shared" si="18"/>
        <v>7</v>
      </c>
      <c r="AS24" s="6" t="str">
        <v>IVDSH_DID_REA_VM3TO2_WHLINI_INF</v>
      </c>
      <c r="AV24" s="6" t="str">
        <f>"IVDSH_FQ_CH_REA_"&amp;COUNTIF(AW$22:AW24,"&gt;=0")-1</f>
        <v>IVDSH_FQ_CH_REA_1</v>
      </c>
      <c r="AW24" s="6" t="str">
        <f>IF(AW32="","",COUNTIF(AW$30:AW32,"&gt;0")-1)</f>
        <v/>
      </c>
      <c r="AX24" s="31">
        <v>2</v>
      </c>
      <c r="BA24" s="12" t="s">
        <v>271</v>
      </c>
      <c r="BB24" s="11" t="str">
        <f>IF(AW21&lt;&gt;0,"&amp;st_sp_IVDSH_FQ_CH[IVDSH_FQ_CH_REA_0]","&amp;st_sp_IVDSH_FQ_CH[IVDSH_FQ_CH_WRI]")</f>
        <v>&amp;st_sp_IVDSH_FQ_CH[IVDSH_FQ_CH_REA_0]</v>
      </c>
      <c r="BE24" s="11" t="str">
        <f t="shared" si="0"/>
        <v>#define IVDSH_DID_WRI_VM2TO3_WHLINI_INF          (7U)</v>
      </c>
      <c r="BF24" s="11" t="str">
        <f t="shared" si="1"/>
        <v/>
      </c>
      <c r="BG24" s="11" t="str">
        <f t="shared" si="2"/>
        <v>#define IVDSH_DID_REA_VM1TO2_CAM_DIAP            (32U)</v>
      </c>
      <c r="BH24" s="11" t="str">
        <f t="shared" si="3"/>
        <v/>
      </c>
      <c r="BI24" s="11" t="str">
        <f t="shared" si="4"/>
        <v>#define IVDSH_DID_REA_VM3TO2_WHLINI_INF          (45U)</v>
      </c>
      <c r="BJ24" s="11"/>
      <c r="BK24" s="11" t="str">
        <f t="shared" si="7"/>
        <v xml:space="preserve">    {(U2)7U,        (U2)1U,         (U2)IVDSH_FQ_CH_WRI  },     /* IVDSH_DID_WRI_VM2TO3_WHLINI_INF */</v>
      </c>
      <c r="BL24" s="11" t="str">
        <f t="shared" si="8"/>
        <v/>
      </c>
      <c r="BM24" s="11" t="str">
        <f t="shared" si="9"/>
        <v xml:space="preserve">    {(U2)7U,        (U2)1U,         (U2)IVDSH_FQ_CH_REA_1},     /* IVDSH_DID_REA_VM1TO2_CAM_DIAP   */</v>
      </c>
      <c r="BN24" s="11" t="str">
        <f t="shared" si="10"/>
        <v/>
      </c>
      <c r="BO24" s="11" t="str">
        <f t="shared" si="11"/>
        <v xml:space="preserve">    {(U2)7U,        (U2)1U,         (U2)IVDSH_FQ_CH_REA_2},     /* IVDSH_DID_REA_VM3TO2_WHLINI_INF */</v>
      </c>
      <c r="BP24" s="11"/>
      <c r="BQ24" s="11"/>
      <c r="BR24" s="11" t="str">
        <f>IF(AW37="","","    {")</f>
        <v xml:space="preserve">    {</v>
      </c>
      <c r="BS24" s="11"/>
    </row>
    <row r="25" spans="5:71" x14ac:dyDescent="0.4">
      <c r="E25" s="6">
        <f t="shared" si="12"/>
        <v>8</v>
      </c>
      <c r="F25" s="6">
        <v>27</v>
      </c>
      <c r="G25" s="6" t="str">
        <v>VM2TO3_STRMODE</v>
      </c>
      <c r="H25" s="6" t="str">
        <v>T</v>
      </c>
      <c r="I25" s="6">
        <v>1</v>
      </c>
      <c r="J25" s="6">
        <f t="shared" si="19"/>
        <v>8</v>
      </c>
      <c r="K25" s="6" t="str">
        <v>IVDSH_DID_WRI_VM2TO3_STRMODE</v>
      </c>
      <c r="R25" s="6" t="str">
        <f>IF(P25="R",MAX(R$17:R24,Q$15-1)+1,"")</f>
        <v/>
      </c>
      <c r="S25" s="6" t="str">
        <f t="shared" si="13"/>
        <v/>
      </c>
      <c r="T25" s="6" t="str">
        <f t="shared" si="14"/>
        <v/>
      </c>
      <c r="V25" s="6">
        <v>22</v>
      </c>
      <c r="W25" s="6" t="str">
        <v>VM1TO2_FLYNOP</v>
      </c>
      <c r="X25" s="6" t="str">
        <v>R</v>
      </c>
      <c r="Y25" s="6">
        <v>1</v>
      </c>
      <c r="Z25" s="6">
        <f>IF(X25="R",MAX(Z$17:Z24,Y$15-1)+1,"")</f>
        <v>33</v>
      </c>
      <c r="AA25" s="6">
        <f t="shared" si="15"/>
        <v>1</v>
      </c>
      <c r="AB25" s="6">
        <f t="shared" si="16"/>
        <v>8</v>
      </c>
      <c r="AC25" s="6" t="str">
        <v>IVDSH_DID_REA_VM1TO2_FLYNOP</v>
      </c>
      <c r="AD25" s="6">
        <v>27</v>
      </c>
      <c r="AE25" s="6" t="str">
        <v>VM2TO3_STRMODE</v>
      </c>
      <c r="AF25" s="6" t="str">
        <v>T</v>
      </c>
      <c r="AG25" s="6">
        <v>1</v>
      </c>
      <c r="AH25" s="6" t="str">
        <f>IF(AF25="R",MAX(AH$17:AH24,AG$15-1)+1,"")</f>
        <v/>
      </c>
      <c r="AI25" s="6" t="str">
        <f t="shared" si="5"/>
        <v/>
      </c>
      <c r="AJ25" s="6" t="str">
        <f t="shared" si="6"/>
        <v/>
      </c>
      <c r="AK25" s="6" t="str">
        <v>IVDSH_DID_REA_VM2TO3_STRMODE</v>
      </c>
      <c r="AL25" s="6">
        <v>50</v>
      </c>
      <c r="AM25" s="6" t="str">
        <v>VM3TO1_WHLINI_STA</v>
      </c>
      <c r="AN25" s="6" t="str">
        <v>-</v>
      </c>
      <c r="AO25" s="6">
        <v>1</v>
      </c>
      <c r="AP25" s="6" t="str">
        <f>IF(AN25="R",MAX(AP$17:AP24,AO$15-1)+1,"")</f>
        <v/>
      </c>
      <c r="AQ25" s="6">
        <f t="shared" si="17"/>
        <v>2</v>
      </c>
      <c r="AR25" s="6">
        <f t="shared" si="18"/>
        <v>8</v>
      </c>
      <c r="AS25" s="6" t="str">
        <v>IVDSH_DID_REA_VM3TO1_WHLINI_STA</v>
      </c>
      <c r="AV25" s="6" t="str">
        <f>"IVDSH_FQ_CH_REA_"&amp;COUNTIF(AW$22:AW25,"&gt;=0")-1</f>
        <v>IVDSH_FQ_CH_REA_2</v>
      </c>
      <c r="AW25" s="6">
        <f>IF(AW33="","",COUNTIF(AW$30:AW33,"&gt;0")-1)</f>
        <v>2</v>
      </c>
      <c r="AX25" s="31">
        <v>3</v>
      </c>
      <c r="BA25" s="12" t="s">
        <v>272</v>
      </c>
      <c r="BB25" s="11" t="str">
        <f>B4</f>
        <v>"ehvm_cfg_pe2_vm0.h"</v>
      </c>
      <c r="BE25" s="11" t="str">
        <f t="shared" si="0"/>
        <v>#define IVDSH_DID_WRI_VM2TO3_STRMODE             (8U)</v>
      </c>
      <c r="BF25" s="11" t="str">
        <f t="shared" si="1"/>
        <v/>
      </c>
      <c r="BG25" s="11" t="str">
        <f t="shared" si="2"/>
        <v>#define IVDSH_DID_REA_VM1TO2_FLYNOP              (33U)</v>
      </c>
      <c r="BH25" s="11" t="str">
        <f t="shared" si="3"/>
        <v/>
      </c>
      <c r="BI25" s="11" t="str">
        <f t="shared" si="4"/>
        <v/>
      </c>
      <c r="BJ25" s="11"/>
      <c r="BK25" s="11" t="str">
        <f t="shared" si="7"/>
        <v xml:space="preserve">    {(U2)8U,        (U2)1U,         (U2)IVDSH_FQ_CH_WRI  },     /* IVDSH_DID_WRI_VM2TO3_STRMODE    */</v>
      </c>
      <c r="BL25" s="11" t="str">
        <f t="shared" si="8"/>
        <v/>
      </c>
      <c r="BM25" s="11" t="str">
        <f t="shared" si="9"/>
        <v xml:space="preserve">    {(U2)8U,        (U2)1U,         (U2)IVDSH_FQ_CH_REA_1},     /* IVDSH_DID_REA_VM1TO2_FLYNOP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28</v>
      </c>
      <c r="G26" s="6" t="str">
        <v>VM2TO3_OPESTS</v>
      </c>
      <c r="H26" s="6" t="str">
        <v>T</v>
      </c>
      <c r="I26" s="6">
        <v>1</v>
      </c>
      <c r="J26" s="6">
        <f t="shared" si="19"/>
        <v>9</v>
      </c>
      <c r="K26" s="6" t="str">
        <v>IVDSH_DID_WRI_VM2TO3_OPESTS</v>
      </c>
      <c r="R26" s="6" t="str">
        <f>IF(P26="R",MAX(R$17:R25,Q$15-1)+1,"")</f>
        <v/>
      </c>
      <c r="S26" s="6" t="str">
        <f t="shared" si="13"/>
        <v/>
      </c>
      <c r="T26" s="6" t="str">
        <f t="shared" si="14"/>
        <v/>
      </c>
      <c r="V26" s="6">
        <v>25</v>
      </c>
      <c r="W26" s="6" t="str">
        <v>VM1TO23_FSLP</v>
      </c>
      <c r="X26" s="6" t="str">
        <v>R</v>
      </c>
      <c r="Y26" s="6">
        <v>1</v>
      </c>
      <c r="Z26" s="6">
        <f>IF(X26="R",MAX(Z$17:Z25,Y$15-1)+1,"")</f>
        <v>34</v>
      </c>
      <c r="AA26" s="6">
        <f t="shared" si="15"/>
        <v>1</v>
      </c>
      <c r="AB26" s="6">
        <f t="shared" si="16"/>
        <v>9</v>
      </c>
      <c r="AC26" s="6" t="str">
        <v>IVDSH_DID_REA_VM1TO23_FSLP</v>
      </c>
      <c r="AD26" s="6">
        <v>28</v>
      </c>
      <c r="AE26" s="6" t="str">
        <v>VM2TO3_OPESTS</v>
      </c>
      <c r="AF26" s="6" t="str">
        <v>T</v>
      </c>
      <c r="AG26" s="6">
        <v>1</v>
      </c>
      <c r="AH26" s="6" t="str">
        <f>IF(AF26="R",MAX(AH$17:AH25,AG$15-1)+1,"")</f>
        <v/>
      </c>
      <c r="AI26" s="6" t="str">
        <f t="shared" si="5"/>
        <v/>
      </c>
      <c r="AJ26" s="6" t="str">
        <f t="shared" si="6"/>
        <v/>
      </c>
      <c r="AK26" s="6" t="str">
        <v>IVDSH_DID_REA_VM2TO3_OPESTS</v>
      </c>
      <c r="AL26" s="6">
        <v>51</v>
      </c>
      <c r="AM26" s="6" t="str">
        <v>VM3TO1_SOC_POW_STS</v>
      </c>
      <c r="AN26" s="6" t="str">
        <v>-</v>
      </c>
      <c r="AO26" s="6">
        <v>1</v>
      </c>
      <c r="AP26" s="6" t="str">
        <f>IF(AN26="R",MAX(AP$17:AP25,AO$15-1)+1,"")</f>
        <v/>
      </c>
      <c r="AQ26" s="6">
        <f t="shared" si="17"/>
        <v>2</v>
      </c>
      <c r="AR26" s="6">
        <f t="shared" si="18"/>
        <v>9</v>
      </c>
      <c r="AS26" s="6" t="str">
        <v>IVDSH_DID_REA_VM3TO1_SOC_POW_STS</v>
      </c>
      <c r="AV26" s="6" t="s">
        <v>273</v>
      </c>
      <c r="AW26" s="6">
        <f>IF(AW29=0,"",COUNTIF(AW$29:AW33,"&gt;0")-1)</f>
        <v>3</v>
      </c>
      <c r="BA26" s="12"/>
      <c r="BE26" s="11" t="str">
        <f t="shared" si="0"/>
        <v>#define IVDSH_DID_WRI_VM2TO3_OPESTS              (9U)</v>
      </c>
      <c r="BF26" s="11" t="str">
        <f t="shared" si="1"/>
        <v/>
      </c>
      <c r="BG26" s="11" t="str">
        <f t="shared" si="2"/>
        <v>#define IVDSH_DID_REA_VM1TO23_FSLP               (34U)</v>
      </c>
      <c r="BH26" s="11" t="str">
        <f t="shared" si="3"/>
        <v/>
      </c>
      <c r="BI26" s="11" t="str">
        <f t="shared" si="4"/>
        <v/>
      </c>
      <c r="BJ26" s="11"/>
      <c r="BK26" s="11" t="str">
        <f t="shared" si="7"/>
        <v xml:space="preserve">    {(U2)9U,        (U2)1U,         (U2)IVDSH_FQ_CH_WRI  },     /* IVDSH_DID_WRI_VM2TO3_OPESTS     */</v>
      </c>
      <c r="BL26" s="11" t="str">
        <f t="shared" si="8"/>
        <v/>
      </c>
      <c r="BM26" s="11" t="str">
        <f t="shared" si="9"/>
        <v xml:space="preserve">    {(U2)9U,        (U2)1U,         (U2)IVDSH_FQ_CH_REA_1},     /* IVDSH_DID_REA_VM1TO23_FSLP      */</v>
      </c>
      <c r="BN26" s="11" t="str">
        <f t="shared" si="10"/>
        <v/>
      </c>
      <c r="BO26" s="11" t="str">
        <f t="shared" si="11"/>
        <v/>
      </c>
      <c r="BP26" s="11"/>
      <c r="BQ26" s="11"/>
      <c r="BR26" s="11" t="str">
        <f>IF(AW37="","",IF(AW26&lt;&gt;"",
  "         ((U2)IVDSH_WA_NWORD_REA_0 &lt;&lt; 1)),",
  "")
)</f>
        <v xml:space="preserve">         ((U2)IVDSH_WA_NWORD_REA_0 &lt;&lt; 1)),</v>
      </c>
      <c r="BS26" s="11"/>
    </row>
    <row r="27" spans="5:71" x14ac:dyDescent="0.4">
      <c r="E27" s="6">
        <f t="shared" si="12"/>
        <v>10</v>
      </c>
      <c r="F27" s="6">
        <v>32</v>
      </c>
      <c r="G27" s="6" t="str">
        <v>GPS_REQ</v>
      </c>
      <c r="H27" s="6" t="str">
        <v>T</v>
      </c>
      <c r="I27" s="6">
        <v>1</v>
      </c>
      <c r="J27" s="6">
        <f t="shared" si="19"/>
        <v>10</v>
      </c>
      <c r="K27" s="6" t="str">
        <v>IVDSH_DID_WRI_GPS_REQ</v>
      </c>
      <c r="R27" s="6" t="str">
        <f>IF(P27="R",MAX(R$17:R26,Q$15-1)+1,"")</f>
        <v/>
      </c>
      <c r="S27" s="6" t="str">
        <f t="shared" si="13"/>
        <v/>
      </c>
      <c r="T27" s="6" t="str">
        <f t="shared" si="14"/>
        <v/>
      </c>
      <c r="V27" s="6">
        <v>34</v>
      </c>
      <c r="W27" s="6" t="str">
        <v>VM1TO2_WHLINI_RES</v>
      </c>
      <c r="X27" s="6" t="str">
        <v>R</v>
      </c>
      <c r="Y27" s="6">
        <v>1</v>
      </c>
      <c r="Z27" s="6">
        <f>IF(X27="R",MAX(Z$17:Z26,Y$15-1)+1,"")</f>
        <v>35</v>
      </c>
      <c r="AA27" s="6">
        <f t="shared" si="15"/>
        <v>1</v>
      </c>
      <c r="AB27" s="6">
        <f t="shared" si="16"/>
        <v>10</v>
      </c>
      <c r="AC27" s="6" t="str">
        <v>IVDSH_DID_REA_VM1TO2_WHLINI_RES</v>
      </c>
      <c r="AD27" s="6">
        <v>32</v>
      </c>
      <c r="AE27" s="6" t="str">
        <v>GPS_REQ</v>
      </c>
      <c r="AF27" s="6" t="str">
        <v>T</v>
      </c>
      <c r="AG27" s="6">
        <v>1</v>
      </c>
      <c r="AH27" s="6" t="str">
        <f>IF(AF27="R",MAX(AH$17:AH26,AG$15-1)+1,"")</f>
        <v/>
      </c>
      <c r="AI27" s="6" t="str">
        <f t="shared" si="5"/>
        <v/>
      </c>
      <c r="AJ27" s="6" t="str">
        <f t="shared" si="6"/>
        <v/>
      </c>
      <c r="AK27" s="6" t="str">
        <v>IVDSH_DID_REA_GPS_REQ</v>
      </c>
      <c r="AL27" s="6">
        <v>53</v>
      </c>
      <c r="AM27" s="6" t="str">
        <v>VM3TO2_WKUP_COND</v>
      </c>
      <c r="AN27" s="6" t="str">
        <v>R</v>
      </c>
      <c r="AO27" s="6">
        <v>1</v>
      </c>
      <c r="AP27" s="6">
        <f>IF(AN27="R",MAX(AP$17:AP26,AO$15-1)+1,"")</f>
        <v>46</v>
      </c>
      <c r="AQ27" s="6">
        <f t="shared" si="17"/>
        <v>2</v>
      </c>
      <c r="AR27" s="6">
        <f t="shared" si="18"/>
        <v>10</v>
      </c>
      <c r="AS27" s="6" t="str">
        <v>IVDSH_DID_REA_VM3TO2_WKUP_COND</v>
      </c>
      <c r="BA27" s="12"/>
      <c r="BE27" s="11" t="str">
        <f t="shared" si="0"/>
        <v>#define IVDSH_DID_WRI_GPS_REQ                    (10U)</v>
      </c>
      <c r="BF27" s="11" t="str">
        <f t="shared" si="1"/>
        <v/>
      </c>
      <c r="BG27" s="11" t="str">
        <f t="shared" si="2"/>
        <v>#define IVDSH_DID_REA_VM1TO2_WHLINI_RES          (35U)</v>
      </c>
      <c r="BH27" s="11" t="str">
        <f t="shared" si="3"/>
        <v/>
      </c>
      <c r="BI27" s="11" t="str">
        <f t="shared" si="4"/>
        <v>#define IVDSH_DID_REA_VM3TO2_WKUP_COND           (46U)</v>
      </c>
      <c r="BJ27" s="11"/>
      <c r="BK27" s="11" t="str">
        <f t="shared" si="7"/>
        <v xml:space="preserve">    {(U2)10U,       (U2)1U,         (U2)IVDSH_FQ_CH_WRI  },     /* IVDSH_DID_WRI_GPS_REQ           */</v>
      </c>
      <c r="BL27" s="11" t="str">
        <f t="shared" si="8"/>
        <v/>
      </c>
      <c r="BM27" s="11" t="str">
        <f t="shared" si="9"/>
        <v xml:space="preserve">    {(U2)10U,       (U2)1U,         (U2)IVDSH_FQ_CH_REA_1},     /* IVDSH_DID_REA_VM1TO2_WHLINI_RES */</v>
      </c>
      <c r="BN27" s="11" t="str">
        <f t="shared" si="10"/>
        <v/>
      </c>
      <c r="BO27" s="11" t="str">
        <f t="shared" si="11"/>
        <v xml:space="preserve">    {(U2)10U,       (U2)1U,         (U2)IVDSH_FQ_CH_REA_2},     /* IVDSH_DID_REA_VM3TO2_WKUP_COND  */</v>
      </c>
      <c r="BP27" s="11"/>
      <c r="BQ27" s="11"/>
      <c r="BR27" s="11" t="str">
        <f>IF(AW37="","","        (U2)IVDSH_WA_NWORD_REA_1,                                 /* u2_nword */")</f>
        <v xml:space="preserve">        (U2)IVDSH_WA_NWORD_REA_1,                                 /* u2_nword */</v>
      </c>
      <c r="BS27" s="11"/>
    </row>
    <row r="28" spans="5:71" x14ac:dyDescent="0.4">
      <c r="E28" s="6">
        <f t="shared" si="12"/>
        <v>11</v>
      </c>
      <c r="F28" s="6">
        <v>33</v>
      </c>
      <c r="G28" s="6" t="str">
        <v>VM2TO1_WHLINI_REQ</v>
      </c>
      <c r="H28" s="6" t="str">
        <v>T</v>
      </c>
      <c r="I28" s="6">
        <v>1</v>
      </c>
      <c r="J28" s="6">
        <f t="shared" si="19"/>
        <v>11</v>
      </c>
      <c r="K28" s="6" t="str">
        <v>IVDSH_DID_WRI_VM2TO1_WHLINI_REQ</v>
      </c>
      <c r="R28" s="6" t="str">
        <f>IF(P28="R",MAX(R$17:R27,Q$15-1)+1,"")</f>
        <v/>
      </c>
      <c r="S28" s="6" t="str">
        <f t="shared" si="13"/>
        <v/>
      </c>
      <c r="T28" s="6" t="str">
        <f t="shared" si="14"/>
        <v/>
      </c>
      <c r="V28" s="6">
        <v>35</v>
      </c>
      <c r="W28" s="6" t="str">
        <v>VM1TO3_WHLINI_INF</v>
      </c>
      <c r="X28" s="6" t="str">
        <v>-</v>
      </c>
      <c r="Y28" s="6">
        <v>1</v>
      </c>
      <c r="Z28" s="6" t="str">
        <f>IF(X28="R",MAX(Z$17:Z27,Y$15-1)+1,"")</f>
        <v/>
      </c>
      <c r="AA28" s="6">
        <f t="shared" si="15"/>
        <v>1</v>
      </c>
      <c r="AB28" s="6">
        <f t="shared" si="16"/>
        <v>11</v>
      </c>
      <c r="AC28" s="6" t="str">
        <v>IVDSH_DID_REA_VM1TO3_WHLINI_INF</v>
      </c>
      <c r="AD28" s="6">
        <v>33</v>
      </c>
      <c r="AE28" s="6" t="str">
        <v>VM2TO1_WHLINI_REQ</v>
      </c>
      <c r="AF28" s="6" t="str">
        <v>T</v>
      </c>
      <c r="AG28" s="6">
        <v>1</v>
      </c>
      <c r="AH28" s="6" t="str">
        <f>IF(AF28="R",MAX(AH$17:AH27,AG$15-1)+1,"")</f>
        <v/>
      </c>
      <c r="AI28" s="6" t="str">
        <f t="shared" si="5"/>
        <v/>
      </c>
      <c r="AJ28" s="6" t="str">
        <f t="shared" si="6"/>
        <v/>
      </c>
      <c r="AK28" s="6" t="str">
        <v>IVDSH_DID_REA_VM2TO1_WHLINI_REQ</v>
      </c>
      <c r="AL28" s="6">
        <v>54</v>
      </c>
      <c r="AM28" s="6" t="str">
        <v>VM3TO2_USRRST_MASK</v>
      </c>
      <c r="AN28" s="6" t="str">
        <v>R</v>
      </c>
      <c r="AO28" s="6">
        <v>1</v>
      </c>
      <c r="AP28" s="6">
        <f>IF(AN28="R",MAX(AP$17:AP27,AO$15-1)+1,"")</f>
        <v>47</v>
      </c>
      <c r="AQ28" s="6">
        <f t="shared" si="17"/>
        <v>2</v>
      </c>
      <c r="AR28" s="6">
        <f t="shared" si="18"/>
        <v>11</v>
      </c>
      <c r="AS28" s="6" t="str">
        <v>IVDSH_DID_REA_VM3TO2_USRRST_MASK</v>
      </c>
      <c r="AV28" s="6" t="s">
        <v>274</v>
      </c>
      <c r="AW28" s="6">
        <f>AW29+SUM(AW30:AW33)*2</f>
        <v>94</v>
      </c>
      <c r="BA28" s="12"/>
      <c r="BE28" s="11" t="str">
        <f t="shared" si="0"/>
        <v>#define IVDSH_DID_WRI_VM2TO1_WHLINI_REQ          (11U)</v>
      </c>
      <c r="BF28" s="11" t="str">
        <f t="shared" si="1"/>
        <v/>
      </c>
      <c r="BG28" s="11" t="str">
        <f t="shared" si="2"/>
        <v/>
      </c>
      <c r="BH28" s="11" t="str">
        <f t="shared" si="3"/>
        <v/>
      </c>
      <c r="BI28" s="11" t="str">
        <f t="shared" si="4"/>
        <v>#define IVDSH_DID_REA_VM3TO2_USRRST_MASK         (47U)</v>
      </c>
      <c r="BJ28" s="11"/>
      <c r="BK28" s="11" t="str">
        <f t="shared" si="7"/>
        <v xml:space="preserve">    {(U2)11U,       (U2)1U,         (U2)IVDSH_FQ_CH_WRI  },     /* IVDSH_DID_WRI_VM2TO1_WHLINI_REQ */</v>
      </c>
      <c r="BL28" s="11" t="str">
        <f t="shared" si="8"/>
        <v/>
      </c>
      <c r="BM28" s="11" t="str">
        <f t="shared" si="9"/>
        <v/>
      </c>
      <c r="BN28" s="11" t="str">
        <f t="shared" si="10"/>
        <v/>
      </c>
      <c r="BO28" s="11" t="str">
        <f t="shared" si="11"/>
        <v xml:space="preserve">    {(U2)11U,       (U2)1U,         (U2)IVDSH_FQ_CH_REA_2},     /* IVDSH_DID_REA_VM3TO2_USRRST_MASK*/</v>
      </c>
      <c r="BP28" s="11"/>
      <c r="BQ28" s="11"/>
      <c r="BR28" s="11" t="str" cm="1">
        <f t="array" ref="BR28">IF(AW37="","","        (U2)"&amp;INDEX(B6:B9,AX37+1)&amp;"                       /* u2_fq_ch */")</f>
        <v xml:space="preserve">        (U2)EHVM_RX_VCCID_VCC_SHARED_TX_VM1                       /* u2_fq_ch */</v>
      </c>
      <c r="BS28" s="11"/>
    </row>
    <row r="29" spans="5:71" x14ac:dyDescent="0.4">
      <c r="E29" s="6">
        <f t="shared" si="12"/>
        <v>12</v>
      </c>
      <c r="F29" s="6">
        <v>36</v>
      </c>
      <c r="G29" s="6" t="str">
        <v>VM2TO3_DIN2_STAT</v>
      </c>
      <c r="H29" s="6" t="str">
        <v>T</v>
      </c>
      <c r="I29" s="6">
        <v>1</v>
      </c>
      <c r="J29" s="6">
        <f t="shared" si="19"/>
        <v>12</v>
      </c>
      <c r="K29" s="6" t="str">
        <v>IVDSH_DID_WRI_VM2TO3_DIN2_STAT</v>
      </c>
      <c r="R29" s="6" t="str">
        <f>IF(P29="R",MAX(R$17:R28,Q$15-1)+1,"")</f>
        <v/>
      </c>
      <c r="S29" s="6" t="str">
        <f t="shared" si="13"/>
        <v/>
      </c>
      <c r="T29" s="6" t="str">
        <f t="shared" si="14"/>
        <v/>
      </c>
      <c r="V29" s="6">
        <v>45</v>
      </c>
      <c r="W29" s="6" t="str">
        <v>VM1TO2_MET1D51</v>
      </c>
      <c r="X29" s="6" t="str">
        <v>R</v>
      </c>
      <c r="Y29" s="6">
        <v>2</v>
      </c>
      <c r="Z29" s="6">
        <f>IF(X29="R",MAX(Z$17:Z28,Y$15-1)+1,"")</f>
        <v>36</v>
      </c>
      <c r="AA29" s="6">
        <f t="shared" si="15"/>
        <v>1</v>
      </c>
      <c r="AB29" s="6">
        <f t="shared" si="16"/>
        <v>12</v>
      </c>
      <c r="AC29" s="6" t="str">
        <v>IVDSH_DID_REA_VM1TO2_MET1D51</v>
      </c>
      <c r="AD29" s="6">
        <v>36</v>
      </c>
      <c r="AE29" s="6" t="str">
        <v>VM2TO3_DIN2_STAT</v>
      </c>
      <c r="AF29" s="6" t="str">
        <v>T</v>
      </c>
      <c r="AG29" s="6">
        <v>1</v>
      </c>
      <c r="AH29" s="6" t="str">
        <f>IF(AF29="R",MAX(AH$17:AH28,AG$15-1)+1,"")</f>
        <v/>
      </c>
      <c r="AI29" s="6" t="str">
        <f t="shared" si="5"/>
        <v/>
      </c>
      <c r="AJ29" s="6" t="str">
        <f t="shared" si="6"/>
        <v/>
      </c>
      <c r="AK29" s="6" t="str">
        <v>IVDSH_DID_REA_VM2TO3_DIN2_STAT</v>
      </c>
      <c r="AP29" s="6" t="str">
        <f>IF(AN29="R",MAX(AP$17:AP28,AO$15-1)+1,"")</f>
        <v/>
      </c>
      <c r="AQ29" s="6" t="str">
        <f t="shared" si="17"/>
        <v/>
      </c>
      <c r="AR29" s="6" t="str">
        <f t="shared" si="18"/>
        <v/>
      </c>
      <c r="AV29" s="6" t="s">
        <v>275</v>
      </c>
      <c r="AW29" s="6">
        <f>SUM(I$17:I529)</f>
        <v>24</v>
      </c>
      <c r="AX29" s="30" t="s">
        <v>267</v>
      </c>
      <c r="BA29" s="12"/>
      <c r="BE29" s="11" t="str">
        <f t="shared" si="0"/>
        <v>#define IVDSH_DID_WRI_VM2TO3_DIN2_STAT           (12U)</v>
      </c>
      <c r="BF29" s="11" t="str">
        <f t="shared" si="1"/>
        <v/>
      </c>
      <c r="BG29" s="11" t="str">
        <f t="shared" si="2"/>
        <v>#define IVDSH_DID_REA_VM1TO2_MET1D51             (36U)</v>
      </c>
      <c r="BH29" s="11" t="str">
        <f t="shared" si="3"/>
        <v/>
      </c>
      <c r="BI29" s="11" t="str">
        <f t="shared" si="4"/>
        <v/>
      </c>
      <c r="BJ29" s="11"/>
      <c r="BK29" s="11" t="str">
        <f t="shared" si="7"/>
        <v xml:space="preserve">    {(U2)12U,       (U2)1U,         (U2)IVDSH_FQ_CH_WRI  },     /* IVDSH_DID_WRI_VM2TO3_DIN2_STAT  */</v>
      </c>
      <c r="BL29" s="11" t="str">
        <f t="shared" si="8"/>
        <v/>
      </c>
      <c r="BM29" s="11" t="str">
        <f t="shared" si="9"/>
        <v xml:space="preserve">    {(U2)12U,       (U2)2U,         (U2)IVDSH_FQ_CH_REA_1},     /* IVDSH_DID_REA_VM1TO2_MET1D51    */</v>
      </c>
      <c r="BN29" s="11" t="str">
        <f t="shared" si="10"/>
        <v/>
      </c>
      <c r="BO29" s="11" t="str">
        <f t="shared" si="11"/>
        <v/>
      </c>
      <c r="BP29" s="11"/>
      <c r="BQ29" s="11"/>
      <c r="BR29" s="28" t="str">
        <f>IF(AW37="","","    },")</f>
        <v xml:space="preserve">    },</v>
      </c>
      <c r="BS29" s="11"/>
    </row>
    <row r="30" spans="5:71" x14ac:dyDescent="0.4">
      <c r="E30" s="6">
        <f t="shared" si="12"/>
        <v>13</v>
      </c>
      <c r="F30" s="6">
        <v>37</v>
      </c>
      <c r="G30" s="6" t="str">
        <v>VM2TO1_DMS1S02</v>
      </c>
      <c r="H30" s="6" t="str">
        <v>T</v>
      </c>
      <c r="I30" s="6">
        <v>1</v>
      </c>
      <c r="J30" s="6">
        <f t="shared" si="19"/>
        <v>13</v>
      </c>
      <c r="K30" s="6" t="str">
        <v>IVDSH_DID_WRI_VM2TO1_DMS1S02</v>
      </c>
      <c r="R30" s="6" t="str">
        <f>IF(P30="R",MAX(R$17:R29,Q$15-1)+1,"")</f>
        <v/>
      </c>
      <c r="S30" s="6" t="str">
        <f t="shared" si="13"/>
        <v/>
      </c>
      <c r="T30" s="6" t="str">
        <f t="shared" si="14"/>
        <v/>
      </c>
      <c r="V30" s="6">
        <v>48</v>
      </c>
      <c r="W30" s="6" t="str">
        <v>FWUPXRES</v>
      </c>
      <c r="X30" s="6" t="str">
        <v>R</v>
      </c>
      <c r="Y30" s="6">
        <v>2</v>
      </c>
      <c r="Z30" s="6">
        <f>IF(X30="R",MAX(Z$17:Z29,Y$15-1)+1,"")</f>
        <v>37</v>
      </c>
      <c r="AA30" s="6">
        <f t="shared" si="15"/>
        <v>1</v>
      </c>
      <c r="AB30" s="6">
        <f t="shared" si="16"/>
        <v>14</v>
      </c>
      <c r="AC30" s="6" t="str">
        <v>IVDSH_DID_REA_FWUPXRES</v>
      </c>
      <c r="AD30" s="6">
        <v>37</v>
      </c>
      <c r="AE30" s="6" t="str">
        <v>VM2TO1_DMS1S02</v>
      </c>
      <c r="AF30" s="6" t="str">
        <v>T</v>
      </c>
      <c r="AG30" s="6">
        <v>1</v>
      </c>
      <c r="AH30" s="6" t="str">
        <f>IF(AF30="R",MAX(AH$17:AH29,AG$15-1)+1,"")</f>
        <v/>
      </c>
      <c r="AI30" s="6" t="str">
        <f t="shared" si="5"/>
        <v/>
      </c>
      <c r="AJ30" s="6" t="str">
        <f t="shared" si="6"/>
        <v/>
      </c>
      <c r="AK30" s="6" t="str">
        <v>IVDSH_DID_REA_VM2TO1_DMS1S02</v>
      </c>
      <c r="AP30" s="6" t="str">
        <f>IF(AN30="R",MAX(AP$17:AP29,AO$15-1)+1,"")</f>
        <v/>
      </c>
      <c r="AQ30" s="6" t="str">
        <f t="shared" si="17"/>
        <v/>
      </c>
      <c r="AR30" s="6" t="str">
        <f t="shared" si="18"/>
        <v/>
      </c>
      <c r="AV30" s="6" t="str">
        <f>"IVDSH_WA_NWORD_REA_"&amp;COUNTIF(AW$30:AW30,"&gt;0")-1</f>
        <v>IVDSH_WA_NWORD_REA_0</v>
      </c>
      <c r="AW30" s="6">
        <f>IF(R15&lt;&gt;0,SUM(Q$17:Q529),"")</f>
        <v>4</v>
      </c>
      <c r="AX30" s="31">
        <v>0</v>
      </c>
      <c r="BE30" s="11" t="str">
        <f t="shared" si="0"/>
        <v>#define IVDSH_DID_WRI_VM2TO1_DMS1S02             (13U)</v>
      </c>
      <c r="BF30" s="11" t="str">
        <f t="shared" si="1"/>
        <v/>
      </c>
      <c r="BG30" s="11" t="str">
        <f t="shared" si="2"/>
        <v>#define IVDSH_DID_REA_FWUPXRES                   (37U)</v>
      </c>
      <c r="BH30" s="11" t="str">
        <f t="shared" si="3"/>
        <v/>
      </c>
      <c r="BI30" s="11" t="str">
        <f t="shared" si="4"/>
        <v/>
      </c>
      <c r="BJ30" s="11"/>
      <c r="BK30" s="11" t="str">
        <f t="shared" si="7"/>
        <v xml:space="preserve">    {(U2)13U,       (U2)1U,         (U2)IVDSH_FQ_CH_WRI  },     /* IVDSH_DID_WRI_VM2TO1_DMS1S02    */</v>
      </c>
      <c r="BL30" s="11" t="str">
        <f t="shared" si="8"/>
        <v/>
      </c>
      <c r="BM30" s="11" t="str">
        <f t="shared" si="9"/>
        <v xml:space="preserve">    {(U2)14U,       (U2)2U,         (U2)IVDSH_FQ_CH_REA_1},     /* IVDSH_DID_REA_FWUPXRES          */</v>
      </c>
      <c r="BN30" s="11" t="str">
        <f t="shared" si="10"/>
        <v/>
      </c>
      <c r="BO30" s="11" t="str">
        <f t="shared" si="11"/>
        <v/>
      </c>
      <c r="BP30" s="11"/>
      <c r="BQ30" s="11"/>
      <c r="BR30" s="11" t="str">
        <f>IF(AW38="","","    /* IVDSH_FQ_CH_REA_2 */")</f>
        <v xml:space="preserve">    /* IVDSH_FQ_CH_REA_2 */</v>
      </c>
      <c r="BS30" s="11"/>
    </row>
    <row r="31" spans="5:71" x14ac:dyDescent="0.4">
      <c r="E31" s="6">
        <f t="shared" si="12"/>
        <v>14</v>
      </c>
      <c r="F31" s="6">
        <v>38</v>
      </c>
      <c r="G31" s="6" t="str">
        <v>VM2TO1_MET1S27</v>
      </c>
      <c r="H31" s="6" t="str">
        <v>T</v>
      </c>
      <c r="I31" s="6">
        <v>1</v>
      </c>
      <c r="J31" s="6">
        <f t="shared" si="19"/>
        <v>14</v>
      </c>
      <c r="K31" s="6" t="str">
        <v>IVDSH_DID_WRI_VM2TO1_MET1S27</v>
      </c>
      <c r="R31" s="6" t="str">
        <f>IF(P31="R",MAX(R$17:R30,Q$15-1)+1,"")</f>
        <v/>
      </c>
      <c r="S31" s="6" t="str">
        <f t="shared" si="13"/>
        <v/>
      </c>
      <c r="T31" s="6" t="str">
        <f t="shared" si="14"/>
        <v/>
      </c>
      <c r="V31" s="6">
        <v>52</v>
      </c>
      <c r="W31" s="6" t="str">
        <v>VM1TO3_NMDIAG</v>
      </c>
      <c r="X31" s="6" t="str">
        <v>-</v>
      </c>
      <c r="Y31" s="6">
        <v>1</v>
      </c>
      <c r="Z31" s="6" t="str">
        <f>IF(X31="R",MAX(Z$17:Z30,Y$15-1)+1,"")</f>
        <v/>
      </c>
      <c r="AA31" s="6">
        <f t="shared" si="15"/>
        <v>1</v>
      </c>
      <c r="AB31" s="6">
        <f t="shared" si="16"/>
        <v>16</v>
      </c>
      <c r="AC31" s="6" t="str">
        <v>IVDSH_DID_REA_VM1TO3_NMDIAG</v>
      </c>
      <c r="AD31" s="6">
        <v>38</v>
      </c>
      <c r="AE31" s="6" t="str">
        <v>VM2TO1_MET1S27</v>
      </c>
      <c r="AF31" s="6" t="str">
        <v>T</v>
      </c>
      <c r="AG31" s="6">
        <v>1</v>
      </c>
      <c r="AH31" s="6" t="str">
        <f>IF(AF31="R",MAX(AH$17:AH30,AG$15-1)+1,"")</f>
        <v/>
      </c>
      <c r="AI31" s="6" t="str">
        <f t="shared" si="5"/>
        <v/>
      </c>
      <c r="AJ31" s="6" t="str">
        <f t="shared" si="6"/>
        <v/>
      </c>
      <c r="AK31" s="6" t="str">
        <v>IVDSH_DID_REA_VM2TO1_MET1S27</v>
      </c>
      <c r="AP31" s="6" t="str">
        <f>IF(AN31="R",MAX(AP$17:AP30,AO$15-1)+1,"")</f>
        <v/>
      </c>
      <c r="AQ31" s="6" t="str">
        <f t="shared" si="17"/>
        <v/>
      </c>
      <c r="AR31" s="6" t="str">
        <f t="shared" si="18"/>
        <v/>
      </c>
      <c r="AV31" s="6" t="str">
        <f>"IVDSH_WA_NWORD_REA_"&amp;COUNTIF(AW$30:AW31,"&gt;0")-1</f>
        <v>IVDSH_WA_NWORD_REA_1</v>
      </c>
      <c r="AW31" s="6">
        <f>IF(Z15&lt;&gt;0,SUM(Y$17:Y529),"")</f>
        <v>19</v>
      </c>
      <c r="AX31" s="31">
        <v>1</v>
      </c>
      <c r="BE31" s="11" t="str">
        <f t="shared" si="0"/>
        <v>#define IVDSH_DID_WRI_VM2TO1_MET1S27             (14U)</v>
      </c>
      <c r="BF31" s="11" t="str">
        <f t="shared" si="1"/>
        <v/>
      </c>
      <c r="BG31" s="11" t="str">
        <f t="shared" si="2"/>
        <v/>
      </c>
      <c r="BH31" s="11" t="str">
        <f t="shared" si="3"/>
        <v/>
      </c>
      <c r="BI31" s="11" t="str">
        <f t="shared" si="4"/>
        <v/>
      </c>
      <c r="BJ31" s="11"/>
      <c r="BK31" s="11" t="str">
        <f t="shared" si="7"/>
        <v xml:space="preserve">    {(U2)14U,       (U2)1U,         (U2)IVDSH_FQ_CH_WRI  },     /* IVDSH_DID_WRI_VM2TO1_MET1S27    */</v>
      </c>
      <c r="BL31" s="11" t="str">
        <f t="shared" si="8"/>
        <v/>
      </c>
      <c r="BM31" s="11" t="str">
        <f t="shared" si="9"/>
        <v/>
      </c>
      <c r="BN31" s="11" t="str">
        <f t="shared" si="10"/>
        <v/>
      </c>
      <c r="BO31" s="11" t="str">
        <f t="shared" si="11"/>
        <v/>
      </c>
      <c r="BP31" s="11"/>
      <c r="BQ31" s="11"/>
      <c r="BR31" s="11" t="str">
        <f>IF(AW38="","","    {")</f>
        <v xml:space="preserve">    {</v>
      </c>
      <c r="BS31" s="11"/>
    </row>
    <row r="32" spans="5:71" x14ac:dyDescent="0.4">
      <c r="E32" s="6">
        <f t="shared" si="12"/>
        <v>15</v>
      </c>
      <c r="F32" s="6">
        <v>39</v>
      </c>
      <c r="G32" s="6" t="str">
        <v>VM2TO1_MET1S28</v>
      </c>
      <c r="H32" s="6" t="str">
        <v>T</v>
      </c>
      <c r="I32" s="6">
        <v>1</v>
      </c>
      <c r="J32" s="6">
        <f t="shared" si="19"/>
        <v>15</v>
      </c>
      <c r="K32" s="6" t="str">
        <v>IVDSH_DID_WRI_VM2TO1_MET1S28</v>
      </c>
      <c r="R32" s="6" t="str">
        <f>IF(P32="R",MAX(R$17:R31,Q$15-1)+1,"")</f>
        <v/>
      </c>
      <c r="S32" s="6" t="str">
        <f t="shared" si="13"/>
        <v/>
      </c>
      <c r="T32" s="6" t="str">
        <f t="shared" si="14"/>
        <v/>
      </c>
      <c r="V32" s="6">
        <v>55</v>
      </c>
      <c r="W32" s="6" t="str">
        <v>VM1TO3_MAC_ADDRESS</v>
      </c>
      <c r="X32" s="6" t="str">
        <v>-</v>
      </c>
      <c r="Y32" s="6">
        <v>2</v>
      </c>
      <c r="Z32" s="6" t="str">
        <f>IF(X32="R",MAX(Z$17:Z31,Y$15-1)+1,"")</f>
        <v/>
      </c>
      <c r="AA32" s="6">
        <f t="shared" si="15"/>
        <v>1</v>
      </c>
      <c r="AB32" s="6">
        <f t="shared" si="16"/>
        <v>17</v>
      </c>
      <c r="AC32" s="6" t="str">
        <v>IVDSH_DID_REA_VM1TO3_MAC_ADDRESS</v>
      </c>
      <c r="AD32" s="6">
        <v>39</v>
      </c>
      <c r="AE32" s="6" t="str">
        <v>VM2TO1_MET1S28</v>
      </c>
      <c r="AF32" s="6" t="str">
        <v>T</v>
      </c>
      <c r="AG32" s="6">
        <v>1</v>
      </c>
      <c r="AH32" s="6" t="str">
        <f>IF(AF32="R",MAX(AH$17:AH31,AG$15-1)+1,"")</f>
        <v/>
      </c>
      <c r="AI32" s="6" t="str">
        <f t="shared" si="5"/>
        <v/>
      </c>
      <c r="AJ32" s="6" t="str">
        <f t="shared" si="6"/>
        <v/>
      </c>
      <c r="AK32" s="6" t="str">
        <v>IVDSH_DID_REA_VM2TO1_MET1S28</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IVDSH_DID_WRI_VM2TO1_MET1S28             (15U)</v>
      </c>
      <c r="BF32" s="11" t="str">
        <f t="shared" si="1"/>
        <v/>
      </c>
      <c r="BG32" s="11" t="str">
        <f t="shared" si="2"/>
        <v/>
      </c>
      <c r="BH32" s="11" t="str">
        <f t="shared" si="3"/>
        <v/>
      </c>
      <c r="BI32" s="11" t="str">
        <f t="shared" si="4"/>
        <v/>
      </c>
      <c r="BJ32" s="11"/>
      <c r="BK32" s="11" t="str">
        <f t="shared" si="7"/>
        <v xml:space="preserve">    {(U2)15U,       (U2)1U,         (U2)IVDSH_FQ_CH_WRI  },     /* IVDSH_DID_WRI_VM2TO1_MET1S28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x14ac:dyDescent="0.4">
      <c r="E33" s="6">
        <f t="shared" si="12"/>
        <v>16</v>
      </c>
      <c r="F33" s="6">
        <v>40</v>
      </c>
      <c r="G33" s="6" t="str">
        <v>VM2TO1_MET1S29</v>
      </c>
      <c r="H33" s="6" t="str">
        <v>T</v>
      </c>
      <c r="I33" s="6">
        <v>1</v>
      </c>
      <c r="J33" s="6">
        <f t="shared" si="19"/>
        <v>16</v>
      </c>
      <c r="K33" s="6" t="str">
        <v>IVDSH_DID_WRI_VM2TO1_MET1S29</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T</v>
      </c>
      <c r="AG33" s="6">
        <v>1</v>
      </c>
      <c r="AH33" s="6" t="str">
        <f>IF(AF33="R",MAX(AH$17:AH32,AG$15-1)+1,"")</f>
        <v/>
      </c>
      <c r="AI33" s="6" t="str">
        <f t="shared" si="5"/>
        <v/>
      </c>
      <c r="AJ33" s="6" t="str">
        <f t="shared" si="6"/>
        <v/>
      </c>
      <c r="AK33" s="6" t="str">
        <v>IVDSH_DID_REA_VM2TO1_MET1S29</v>
      </c>
      <c r="AP33" s="6" t="str">
        <f>IF(AN33="R",MAX(AP$17:AP32,AO$15-1)+1,"")</f>
        <v/>
      </c>
      <c r="AQ33" s="6" t="str">
        <f t="shared" si="17"/>
        <v/>
      </c>
      <c r="AR33" s="6" t="str">
        <f t="shared" si="18"/>
        <v/>
      </c>
      <c r="AV33" s="6" t="str">
        <f>"IVDSH_WA_NWORD_REA_"&amp;COUNTIF(AW$30:AW33,"&gt;0")-1</f>
        <v>IVDSH_WA_NWORD_REA_2</v>
      </c>
      <c r="AW33" s="6">
        <f>IF(AP15&lt;&gt;0,SUM(AO$17:AO529),"")</f>
        <v>12</v>
      </c>
      <c r="AX33" s="31">
        <v>3</v>
      </c>
      <c r="BE33" s="11" t="str">
        <f t="shared" si="0"/>
        <v>#define IVDSH_DID_WRI_VM2TO1_MET1S29             (16U)</v>
      </c>
      <c r="BF33" s="11" t="str">
        <f t="shared" si="1"/>
        <v/>
      </c>
      <c r="BG33" s="11" t="str">
        <f t="shared" si="2"/>
        <v/>
      </c>
      <c r="BH33" s="11" t="str">
        <f t="shared" si="3"/>
        <v/>
      </c>
      <c r="BI33" s="11" t="str">
        <f t="shared" si="4"/>
        <v/>
      </c>
      <c r="BJ33" s="11"/>
      <c r="BK33" s="11" t="str">
        <f t="shared" si="7"/>
        <v xml:space="preserve">    {(U2)16U,       (U2)1U,         (U2)IVDSH_FQ_CH_WRI  },     /* IVDSH_DID_WRI_VM2TO1_MET1S29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x14ac:dyDescent="0.4">
      <c r="E34" s="6">
        <f t="shared" si="12"/>
        <v>17</v>
      </c>
      <c r="F34" s="6">
        <v>41</v>
      </c>
      <c r="G34" s="6" t="str">
        <v>VM2TO1_MET1S30</v>
      </c>
      <c r="H34" s="6" t="str">
        <v>T</v>
      </c>
      <c r="I34" s="6">
        <v>1</v>
      </c>
      <c r="J34" s="6">
        <f t="shared" si="19"/>
        <v>17</v>
      </c>
      <c r="K34" s="6" t="str">
        <v>IVDSH_DID_WRI_VM2TO1_MET1S30</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T</v>
      </c>
      <c r="AG34" s="6">
        <v>1</v>
      </c>
      <c r="AH34" s="6" t="str">
        <f>IF(AF34="R",MAX(AH$17:AH33,AG$15-1)+1,"")</f>
        <v/>
      </c>
      <c r="AI34" s="6" t="str">
        <f t="shared" si="5"/>
        <v/>
      </c>
      <c r="AJ34" s="6" t="str">
        <f t="shared" si="6"/>
        <v/>
      </c>
      <c r="AK34" s="6" t="str">
        <v>IVDSH_DID_REA_VM2TO1_MET1S30</v>
      </c>
      <c r="AP34" s="6" t="str">
        <f>IF(AN34="R",MAX(AP$17:AP33,AO$15-1)+1,"")</f>
        <v/>
      </c>
      <c r="AQ34" s="6" t="str">
        <f t="shared" si="17"/>
        <v/>
      </c>
      <c r="AR34" s="6" t="str">
        <f t="shared" si="18"/>
        <v/>
      </c>
      <c r="BE34" s="11" t="str">
        <f t="shared" si="0"/>
        <v>#define IVDSH_DID_WRI_VM2TO1_MET1S30             (17U)</v>
      </c>
      <c r="BF34" s="11" t="str">
        <f t="shared" si="1"/>
        <v/>
      </c>
      <c r="BG34" s="11" t="str">
        <f t="shared" si="2"/>
        <v/>
      </c>
      <c r="BH34" s="11" t="str">
        <f t="shared" si="3"/>
        <v/>
      </c>
      <c r="BI34" s="11" t="str">
        <f t="shared" si="4"/>
        <v/>
      </c>
      <c r="BJ34" s="11"/>
      <c r="BK34" s="11" t="str">
        <f t="shared" si="7"/>
        <v xml:space="preserve">    {(U2)17U,       (U2)1U,         (U2)IVDSH_FQ_CH_WRI  },     /* IVDSH_DID_WRI_VM2TO1_MET1S30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x14ac:dyDescent="0.4">
      <c r="E35" s="6">
        <f t="shared" si="12"/>
        <v>18</v>
      </c>
      <c r="F35" s="6">
        <v>42</v>
      </c>
      <c r="G35" s="6" t="str">
        <v>VM2TO1_MET1S43</v>
      </c>
      <c r="H35" s="6" t="str">
        <v>T</v>
      </c>
      <c r="I35" s="6">
        <v>1</v>
      </c>
      <c r="J35" s="6">
        <f t="shared" si="19"/>
        <v>18</v>
      </c>
      <c r="K35" s="6" t="str">
        <v>IVDSH_DID_WRI_VM2TO1_MET1S43</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T</v>
      </c>
      <c r="AG35" s="6">
        <v>1</v>
      </c>
      <c r="AH35" s="6" t="str">
        <f>IF(AF35="R",MAX(AH$17:AH34,AG$15-1)+1,"")</f>
        <v/>
      </c>
      <c r="AI35" s="6" t="str">
        <f t="shared" si="5"/>
        <v/>
      </c>
      <c r="AJ35" s="6" t="str">
        <f t="shared" si="6"/>
        <v/>
      </c>
      <c r="AK35" s="6" t="str">
        <v>IVDSH_DID_REA_VM2TO1_MET1S43</v>
      </c>
      <c r="AP35" s="6" t="str">
        <f>IF(AN35="R",MAX(AP$17:AP34,AO$15-1)+1,"")</f>
        <v/>
      </c>
      <c r="AQ35" s="6" t="str">
        <f t="shared" si="17"/>
        <v/>
      </c>
      <c r="AR35" s="6" t="str">
        <f t="shared" si="18"/>
        <v/>
      </c>
      <c r="AV35" s="30" t="s">
        <v>276</v>
      </c>
      <c r="BE35" s="11" t="str">
        <f t="shared" si="0"/>
        <v>#define IVDSH_DID_WRI_VM2TO1_MET1S43             (18U)</v>
      </c>
      <c r="BF35" s="11" t="str">
        <f t="shared" si="1"/>
        <v/>
      </c>
      <c r="BG35" s="11" t="str">
        <f t="shared" si="2"/>
        <v/>
      </c>
      <c r="BH35" s="11" t="str">
        <f t="shared" si="3"/>
        <v/>
      </c>
      <c r="BI35" s="11" t="str">
        <f t="shared" si="4"/>
        <v/>
      </c>
      <c r="BJ35" s="11"/>
      <c r="BK35" s="11" t="str">
        <f t="shared" si="7"/>
        <v xml:space="preserve">    {(U2)18U,       (U2)1U,         (U2)IVDSH_FQ_CH_WRI  },     /* IVDSH_DID_WRI_VM2TO1_MET1S43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x14ac:dyDescent="0.4">
      <c r="E36" s="6">
        <f t="shared" si="12"/>
        <v>19</v>
      </c>
      <c r="F36" s="6">
        <v>43</v>
      </c>
      <c r="G36" s="6" t="str">
        <v>VM2TO1_MET1S62</v>
      </c>
      <c r="H36" s="6" t="str">
        <v>T</v>
      </c>
      <c r="I36" s="6">
        <v>1</v>
      </c>
      <c r="J36" s="6">
        <f t="shared" si="19"/>
        <v>19</v>
      </c>
      <c r="K36" s="6" t="str">
        <v>IVDSH_DID_WRI_VM2TO1_MET1S62</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T</v>
      </c>
      <c r="AG36" s="6">
        <v>1</v>
      </c>
      <c r="AH36" s="6" t="str">
        <f>IF(AF36="R",MAX(AH$17:AH35,AG$15-1)+1,"")</f>
        <v/>
      </c>
      <c r="AI36" s="6" t="str">
        <f t="shared" si="5"/>
        <v/>
      </c>
      <c r="AJ36" s="6" t="str">
        <f t="shared" si="6"/>
        <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0</v>
      </c>
      <c r="BE36" s="11" t="str">
        <f t="shared" si="0"/>
        <v>#define IVDSH_DID_WRI_VM2TO1_MET1S62             (19U)</v>
      </c>
      <c r="BF36" s="11" t="str">
        <f t="shared" si="1"/>
        <v/>
      </c>
      <c r="BG36" s="11" t="str">
        <f t="shared" si="2"/>
        <v/>
      </c>
      <c r="BH36" s="11" t="str">
        <f t="shared" si="3"/>
        <v/>
      </c>
      <c r="BI36" s="11" t="str">
        <f t="shared" si="4"/>
        <v/>
      </c>
      <c r="BJ36" s="11"/>
      <c r="BK36" s="11" t="str">
        <f t="shared" si="7"/>
        <v xml:space="preserve">    {(U2)19U,       (U2)1U,         (U2)IVDSH_FQ_CH_WRI  },     /* IVDSH_DID_WRI_VM2TO1_MET1S62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x14ac:dyDescent="0.4">
      <c r="E37" s="6">
        <f t="shared" si="12"/>
        <v>20</v>
      </c>
      <c r="F37" s="6">
        <v>44</v>
      </c>
      <c r="G37" s="6" t="str">
        <v>VM2TO1_MET1S70</v>
      </c>
      <c r="H37" s="6" t="str">
        <v>T</v>
      </c>
      <c r="I37" s="6">
        <v>1</v>
      </c>
      <c r="J37" s="6">
        <f t="shared" si="19"/>
        <v>20</v>
      </c>
      <c r="K37" s="6" t="str">
        <v>IVDSH_DID_WRI_VM2TO1_MET1S70</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T</v>
      </c>
      <c r="AG37" s="6">
        <v>1</v>
      </c>
      <c r="AH37" s="6" t="str">
        <f>IF(AF37="R",MAX(AH$17:AH36,AG$15-1)+1,"")</f>
        <v/>
      </c>
      <c r="AI37" s="6" t="str">
        <f t="shared" si="5"/>
        <v/>
      </c>
      <c r="AJ37" s="6" t="str">
        <f t="shared" si="6"/>
        <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1</v>
      </c>
      <c r="BE37" s="11" t="str">
        <f t="shared" si="0"/>
        <v>#define IVDSH_DID_WRI_VM2TO1_MET1S70             (20U)</v>
      </c>
      <c r="BF37" s="11" t="str">
        <f t="shared" si="1"/>
        <v/>
      </c>
      <c r="BG37" s="11" t="str">
        <f t="shared" si="2"/>
        <v/>
      </c>
      <c r="BH37" s="11" t="str">
        <f t="shared" si="3"/>
        <v/>
      </c>
      <c r="BI37" s="11" t="str">
        <f t="shared" si="4"/>
        <v/>
      </c>
      <c r="BJ37" s="11"/>
      <c r="BK37" s="11" t="str">
        <f t="shared" si="7"/>
        <v xml:space="preserve">    {(U2)20U,       (U2)1U,         (U2)IVDSH_FQ_CH_WRI  },     /* IVDSH_DID_WRI_VM2TO1_MET1S70    */</v>
      </c>
      <c r="BL37" s="11" t="str">
        <f t="shared" si="8"/>
        <v/>
      </c>
      <c r="BM37" s="11" t="str">
        <f t="shared" si="9"/>
        <v/>
      </c>
      <c r="BN37" s="11" t="str">
        <f t="shared" si="10"/>
        <v/>
      </c>
      <c r="BO37" s="11" t="str">
        <f t="shared" si="11"/>
        <v/>
      </c>
      <c r="BP37" s="11"/>
      <c r="BQ37" s="11"/>
      <c r="BR37" s="28" t="str">
        <f>IF(AW38="","","    },")</f>
        <v xml:space="preserve">    },</v>
      </c>
      <c r="BS37" s="11"/>
    </row>
    <row r="38" spans="5:71" x14ac:dyDescent="0.4">
      <c r="E38" s="6">
        <f t="shared" si="12"/>
        <v>21</v>
      </c>
      <c r="F38" s="6">
        <v>46</v>
      </c>
      <c r="G38" s="6" t="str">
        <v>FWUPXREQ_H</v>
      </c>
      <c r="H38" s="6" t="str">
        <v>T</v>
      </c>
      <c r="I38" s="6">
        <v>2</v>
      </c>
      <c r="J38" s="6">
        <f t="shared" si="19"/>
        <v>21</v>
      </c>
      <c r="K38" s="6" t="str">
        <v>IVDSH_DID_WRI_FWUPXREQ_H</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T</v>
      </c>
      <c r="AG38" s="6">
        <v>2</v>
      </c>
      <c r="AH38" s="6" t="str">
        <f>IF(AF38="R",MAX(AH$17:AH37,AG$15-1)+1,"")</f>
        <v/>
      </c>
      <c r="AI38" s="6" t="str">
        <f t="shared" si="5"/>
        <v/>
      </c>
      <c r="AJ38" s="6" t="str">
        <f t="shared" si="6"/>
        <v/>
      </c>
      <c r="AK38" s="6" t="str">
        <v>IVDSH_DID_REA_FWUPXREQ_H</v>
      </c>
      <c r="AP38" s="6" t="str">
        <f>IF(AN38="R",MAX(AP$17:AP37,AO$15-1)+1,"")</f>
        <v/>
      </c>
      <c r="AQ38" s="6" t="str">
        <f t="shared" si="17"/>
        <v/>
      </c>
      <c r="AR38" s="6" t="str">
        <f t="shared" si="18"/>
        <v/>
      </c>
      <c r="AV38" s="6" t="s">
        <v>279</v>
      </c>
      <c r="AW38" s="6">
        <f>IFERROR(INDEX(AW$22:AW$25,MATCH(AV38,AV$22:AV$25,0)),"")</f>
        <v>2</v>
      </c>
      <c r="AX38" s="6">
        <f>IFERROR(INDEX(AX$22:AX$25,MATCH(AV38,AV$22:AV$25,0)),"")</f>
        <v>3</v>
      </c>
      <c r="BE38" s="11" t="str">
        <f t="shared" si="0"/>
        <v>#define IVDSH_DID_WRI_FWUPXREQ_H                 (21U)</v>
      </c>
      <c r="BF38" s="11" t="str">
        <f t="shared" si="1"/>
        <v/>
      </c>
      <c r="BG38" s="11" t="str">
        <f t="shared" si="2"/>
        <v/>
      </c>
      <c r="BH38" s="11" t="str">
        <f t="shared" si="3"/>
        <v/>
      </c>
      <c r="BI38" s="11" t="str">
        <f t="shared" si="4"/>
        <v/>
      </c>
      <c r="BJ38" s="11"/>
      <c r="BK38" s="11" t="str">
        <f t="shared" si="7"/>
        <v xml:space="preserve">    {(U2)21U,       (U2)2U,         (U2)IVDSH_FQ_CH_WRI  },     /* IVDSH_DID_WRI_FWUPXREQ_H        */</v>
      </c>
      <c r="BL38" s="11" t="str">
        <f t="shared" si="8"/>
        <v/>
      </c>
      <c r="BM38" s="11" t="str">
        <f t="shared" si="9"/>
        <v/>
      </c>
      <c r="BN38" s="11" t="str">
        <f t="shared" si="10"/>
        <v/>
      </c>
      <c r="BO38" s="11" t="str">
        <f t="shared" si="11"/>
        <v/>
      </c>
      <c r="BP38" s="11"/>
      <c r="BQ38" s="11"/>
      <c r="BR38" s="11"/>
      <c r="BS38" s="11"/>
    </row>
    <row r="39" spans="5:71" x14ac:dyDescent="0.4">
      <c r="E39" s="6">
        <f t="shared" si="12"/>
        <v>22</v>
      </c>
      <c r="F39" s="6">
        <v>47</v>
      </c>
      <c r="G39" s="6" t="str">
        <v>FWUPXREQ_D</v>
      </c>
      <c r="H39" s="6" t="str">
        <v>T</v>
      </c>
      <c r="I39" s="6">
        <v>1</v>
      </c>
      <c r="J39" s="6">
        <f t="shared" si="19"/>
        <v>23</v>
      </c>
      <c r="K39" s="6" t="str">
        <v>IVDSH_DID_WRI_FWUPXREQ_D</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T</v>
      </c>
      <c r="AG39" s="6">
        <v>1</v>
      </c>
      <c r="AH39" s="6" t="str">
        <f>IF(AF39="R",MAX(AH$17:AH38,AG$15-1)+1,"")</f>
        <v/>
      </c>
      <c r="AI39" s="6" t="str">
        <f t="shared" si="5"/>
        <v/>
      </c>
      <c r="AJ39" s="6" t="str">
        <f t="shared" si="6"/>
        <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#define IVDSH_DID_WRI_FWUPXREQ_D                 (22U)</v>
      </c>
      <c r="BF39" s="11" t="str">
        <f t="shared" si="1"/>
        <v/>
      </c>
      <c r="BG39" s="11" t="str">
        <f t="shared" si="2"/>
        <v/>
      </c>
      <c r="BH39" s="11" t="str">
        <f t="shared" si="3"/>
        <v/>
      </c>
      <c r="BI39" s="11" t="str">
        <f t="shared" si="4"/>
        <v/>
      </c>
      <c r="BJ39" s="11"/>
      <c r="BK39" s="11" t="str">
        <f t="shared" si="7"/>
        <v xml:space="preserve">    {(U2)23U,       (U2)1U,         (U2)IVDSH_FQ_CH_WRI  },     /* IVDSH_DID_WRI_FWUPXREQ_D        */</v>
      </c>
      <c r="BL39" s="11" t="str">
        <f t="shared" si="8"/>
        <v/>
      </c>
      <c r="BM39" s="11" t="str">
        <f t="shared" si="9"/>
        <v/>
      </c>
      <c r="BN39" s="11" t="str">
        <f t="shared" si="10"/>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x14ac:dyDescent="0.4"/>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x14ac:dyDescent="0.4">
      <c r="C1" s="3" t="s">
        <v>196</v>
      </c>
      <c r="K1" s="1" t="s">
        <v>197</v>
      </c>
      <c r="L1" s="4"/>
      <c r="N1" s="1" t="s">
        <v>103</v>
      </c>
      <c r="U1" s="1" t="s">
        <v>198</v>
      </c>
      <c r="V1" s="1" t="s">
        <v>104</v>
      </c>
      <c r="AC1" s="2" t="str">
        <f>U1</f>
        <v>IVDSH_DID_REA_</v>
      </c>
      <c r="AD1" s="1" t="s">
        <v>105</v>
      </c>
      <c r="AK1" s="2" t="str">
        <f>AC1</f>
        <v>IVDSH_DID_REA_</v>
      </c>
      <c r="AL1" s="1" t="s">
        <v>106</v>
      </c>
      <c r="AS1" s="2" t="str">
        <f>AK1</f>
        <v>IVDSH_DID_REA_</v>
      </c>
      <c r="AU1" s="5"/>
      <c r="AY1" s="4"/>
    </row>
    <row r="2" spans="1:84" ht="21" x14ac:dyDescent="0.4">
      <c r="A2" s="22" t="s">
        <v>199</v>
      </c>
      <c r="E2" s="22" t="s">
        <v>200</v>
      </c>
      <c r="N2" s="22" t="s">
        <v>201</v>
      </c>
      <c r="O2" s="22"/>
      <c r="AV2" s="22" t="s">
        <v>202</v>
      </c>
      <c r="AY2" s="23"/>
      <c r="AZ2" s="13"/>
      <c r="BA2" s="22" t="s">
        <v>203</v>
      </c>
      <c r="BD2" s="13"/>
    </row>
    <row r="3" spans="1:84" x14ac:dyDescent="0.4">
      <c r="A3" s="6" t="s">
        <v>204</v>
      </c>
      <c r="B3" s="1" t="s">
        <v>106</v>
      </c>
      <c r="N3" s="21" t="s">
        <v>205</v>
      </c>
      <c r="O3" s="21"/>
      <c r="BA3" s="21" t="s">
        <v>206</v>
      </c>
      <c r="BE3" s="21" t="s">
        <v>207</v>
      </c>
    </row>
    <row r="4" spans="1:84" x14ac:dyDescent="0.4">
      <c r="A4" s="6" t="s">
        <v>208</v>
      </c>
      <c r="B4" s="1" t="s">
        <v>289</v>
      </c>
      <c r="AY4" s="23"/>
      <c r="AZ4" s="13"/>
      <c r="BD4" s="13"/>
    </row>
    <row r="5" spans="1:84" x14ac:dyDescent="0.4">
      <c r="A5" s="6" t="s">
        <v>210</v>
      </c>
      <c r="B5" s="1" t="s">
        <v>290</v>
      </c>
      <c r="AY5" s="23"/>
      <c r="AZ5" s="13"/>
      <c r="BD5" s="13"/>
    </row>
    <row r="6" spans="1:84" x14ac:dyDescent="0.4">
      <c r="A6" s="6" t="s">
        <v>212</v>
      </c>
      <c r="B6" s="1" t="s">
        <v>213</v>
      </c>
      <c r="AY6" s="23"/>
      <c r="AZ6" s="13"/>
      <c r="BD6" s="13"/>
    </row>
    <row r="7" spans="1:84" x14ac:dyDescent="0.4">
      <c r="A7" s="6" t="s">
        <v>214</v>
      </c>
      <c r="B7" s="1" t="s">
        <v>215</v>
      </c>
      <c r="AY7" s="23"/>
      <c r="AZ7" s="13"/>
      <c r="BD7" s="13"/>
    </row>
    <row r="8" spans="1:84" x14ac:dyDescent="0.4">
      <c r="A8" s="6" t="s">
        <v>216</v>
      </c>
      <c r="B8" s="1" t="s">
        <v>217</v>
      </c>
    </row>
    <row r="9" spans="1:84" x14ac:dyDescent="0.4">
      <c r="A9" s="6" t="s">
        <v>218</v>
      </c>
      <c r="B9" s="1" t="s">
        <v>219</v>
      </c>
      <c r="BJ9" s="29" t="s">
        <v>220</v>
      </c>
      <c r="BR9" s="29" t="s">
        <v>221</v>
      </c>
      <c r="BS9" s="29" t="s">
        <v>222</v>
      </c>
    </row>
    <row r="10" spans="1:84" x14ac:dyDescent="0.4">
      <c r="BE10" s="6" t="s">
        <v>223</v>
      </c>
      <c r="BJ10" s="6" t="s">
        <v>224</v>
      </c>
      <c r="BR10" s="29" t="s">
        <v>225</v>
      </c>
      <c r="BS10" s="29" t="s">
        <v>225</v>
      </c>
    </row>
    <row r="11" spans="1:84" x14ac:dyDescent="0.4">
      <c r="AY11" s="23"/>
      <c r="AZ11" s="13"/>
      <c r="BD11" s="13"/>
      <c r="BE11" s="6" t="s">
        <v>226</v>
      </c>
      <c r="BF11" s="6" t="s">
        <v>227</v>
      </c>
      <c r="BG11" s="6" t="s">
        <v>228</v>
      </c>
      <c r="BH11" s="6" t="s">
        <v>229</v>
      </c>
      <c r="BI11" s="6" t="s">
        <v>230</v>
      </c>
      <c r="BJ11" s="6" t="s">
        <v>231</v>
      </c>
      <c r="BK11" s="6" t="s">
        <v>232</v>
      </c>
      <c r="BL11" s="6" t="s">
        <v>233</v>
      </c>
      <c r="BM11" s="6" t="s">
        <v>234</v>
      </c>
      <c r="BN11" s="6" t="s">
        <v>235</v>
      </c>
      <c r="BO11" s="6" t="s">
        <v>236</v>
      </c>
      <c r="BP11" s="6" t="s">
        <v>237</v>
      </c>
      <c r="BQ11" s="6" t="s">
        <v>238</v>
      </c>
      <c r="BR11" s="6" t="s">
        <v>239</v>
      </c>
      <c r="BS11" s="6" t="s">
        <v>240</v>
      </c>
    </row>
    <row r="12" spans="1:84" x14ac:dyDescent="0.4">
      <c r="BD12" s="26" t="s">
        <v>241</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x14ac:dyDescent="0.4">
      <c r="BD13" s="26" t="s">
        <v>241</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x14ac:dyDescent="0.4">
      <c r="F14" s="6" t="s">
        <v>242</v>
      </c>
      <c r="G14" s="6" t="s">
        <v>243</v>
      </c>
      <c r="J14" s="6" t="s">
        <v>244</v>
      </c>
      <c r="O14" s="6" t="s">
        <v>243</v>
      </c>
      <c r="Q14" s="6" t="s">
        <v>245</v>
      </c>
      <c r="R14" s="6" t="s">
        <v>242</v>
      </c>
      <c r="S14" s="6" t="s">
        <v>246</v>
      </c>
      <c r="T14" s="6" t="s">
        <v>244</v>
      </c>
      <c r="U14" s="6" t="s">
        <v>247</v>
      </c>
      <c r="W14" s="6" t="s">
        <v>243</v>
      </c>
      <c r="Y14" s="6" t="s">
        <v>245</v>
      </c>
      <c r="Z14" s="6" t="s">
        <v>242</v>
      </c>
      <c r="AA14" s="6" t="s">
        <v>246</v>
      </c>
      <c r="AB14" s="6" t="s">
        <v>244</v>
      </c>
      <c r="AC14" s="6" t="s">
        <v>247</v>
      </c>
      <c r="AE14" s="6" t="s">
        <v>243</v>
      </c>
      <c r="AG14" s="6" t="s">
        <v>245</v>
      </c>
      <c r="AH14" s="6" t="s">
        <v>242</v>
      </c>
      <c r="AI14" s="6" t="s">
        <v>246</v>
      </c>
      <c r="AJ14" s="6" t="s">
        <v>244</v>
      </c>
      <c r="AK14" s="6" t="s">
        <v>247</v>
      </c>
      <c r="AM14" s="6" t="s">
        <v>243</v>
      </c>
      <c r="AO14" s="6" t="s">
        <v>245</v>
      </c>
      <c r="AP14" s="6" t="s">
        <v>242</v>
      </c>
      <c r="AQ14" s="6" t="s">
        <v>246</v>
      </c>
      <c r="AR14" s="6" t="s">
        <v>244</v>
      </c>
      <c r="AS14" s="6" t="s">
        <v>247</v>
      </c>
      <c r="BD14" s="26" t="s">
        <v>241</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x14ac:dyDescent="0.4">
      <c r="F15" s="6">
        <f>IF(F17="",0,COUNTA(F$17:F529))</f>
        <v>12</v>
      </c>
      <c r="G15" s="6" t="s">
        <v>248</v>
      </c>
      <c r="J15" s="14">
        <v>0</v>
      </c>
      <c r="N15" s="9" t="str">
        <f>N1</f>
        <v>VM#0</v>
      </c>
      <c r="O15" s="6" t="s">
        <v>248</v>
      </c>
      <c r="Q15" s="6">
        <f>F15</f>
        <v>12</v>
      </c>
      <c r="R15" s="6">
        <f>COUNTIF(P17:P529,"R")</f>
        <v>0</v>
      </c>
      <c r="S15" s="6">
        <f>COUNTIF(R$15,"&lt;&gt;0")</f>
        <v>0</v>
      </c>
      <c r="T15" s="14">
        <v>0</v>
      </c>
      <c r="U15" s="6">
        <f>COUNTA(U$17:U529)</f>
        <v>4</v>
      </c>
      <c r="V15" s="9" t="str">
        <f>V1</f>
        <v>VM#1(MET)</v>
      </c>
      <c r="W15" s="6" t="str">
        <f>O15</f>
        <v>CPREQ_</v>
      </c>
      <c r="Y15" s="6">
        <f>Q15+R15</f>
        <v>12</v>
      </c>
      <c r="Z15" s="6">
        <f>COUNTIF(X17:X529,"R")</f>
        <v>6</v>
      </c>
      <c r="AA15" s="6">
        <f>S15+COUNTIF(Z$15,"&lt;&gt;0")</f>
        <v>1</v>
      </c>
      <c r="AB15" s="14">
        <v>0</v>
      </c>
      <c r="AC15" s="6">
        <f>COUNTA(AC$17:AC529)</f>
        <v>16</v>
      </c>
      <c r="AD15" s="9" t="str">
        <f>AD1</f>
        <v>VM#2(IVI)</v>
      </c>
      <c r="AE15" s="6" t="str">
        <f>W15</f>
        <v>CPREQ_</v>
      </c>
      <c r="AG15" s="6">
        <f>Y15+Z15</f>
        <v>18</v>
      </c>
      <c r="AH15" s="6">
        <f>COUNTIF(AF17:AF529,"R")</f>
        <v>6</v>
      </c>
      <c r="AI15" s="6">
        <f>AA15+COUNTIF(AH$15,"&lt;&gt;0")</f>
        <v>2</v>
      </c>
      <c r="AJ15" s="14">
        <v>0</v>
      </c>
      <c r="AK15" s="6">
        <f>COUNTA(AK$17:AK529)</f>
        <v>23</v>
      </c>
      <c r="AL15" s="9" t="str">
        <f>AL1</f>
        <v>VM#3(CEN)</v>
      </c>
      <c r="AM15" s="6" t="str">
        <f>AE15</f>
        <v>CPREQ_</v>
      </c>
      <c r="AO15" s="6">
        <f>AG15+AH15</f>
        <v>24</v>
      </c>
      <c r="AP15" s="6">
        <f>COUNTIF(AN17:AN529,"R")</f>
        <v>0</v>
      </c>
      <c r="AQ15" s="6">
        <f>AI15+COUNTIF(AP$15,"&lt;&gt;0")</f>
        <v>2</v>
      </c>
      <c r="AR15" s="14">
        <v>0</v>
      </c>
      <c r="AS15" s="6">
        <f>COUNTA(AS$17:AS529)</f>
        <v>12</v>
      </c>
      <c r="BD15" s="26" t="s">
        <v>241</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x14ac:dyDescent="0.4">
      <c r="C16" s="4"/>
      <c r="E16" s="2" t="s">
        <v>249</v>
      </c>
      <c r="F16" s="2" t="s">
        <v>250</v>
      </c>
      <c r="G16" s="2" t="s">
        <v>251</v>
      </c>
      <c r="H16" s="2" t="s">
        <v>252</v>
      </c>
      <c r="I16" s="2" t="s">
        <v>253</v>
      </c>
      <c r="J16" s="2" t="s">
        <v>254</v>
      </c>
      <c r="K16" s="2" t="s">
        <v>255</v>
      </c>
      <c r="L16" s="4"/>
      <c r="N16" s="2" t="s">
        <v>250</v>
      </c>
      <c r="O16" s="2" t="s">
        <v>102</v>
      </c>
      <c r="P16" s="2" t="s">
        <v>252</v>
      </c>
      <c r="Q16" s="2" t="s">
        <v>253</v>
      </c>
      <c r="R16" s="2" t="s">
        <v>249</v>
      </c>
      <c r="S16" s="2" t="s">
        <v>256</v>
      </c>
      <c r="T16" s="2" t="s">
        <v>254</v>
      </c>
      <c r="U16" s="2" t="s">
        <v>257</v>
      </c>
      <c r="V16" s="2" t="s">
        <v>250</v>
      </c>
      <c r="W16" s="2" t="s">
        <v>102</v>
      </c>
      <c r="X16" s="2" t="s">
        <v>252</v>
      </c>
      <c r="Y16" s="2" t="s">
        <v>253</v>
      </c>
      <c r="Z16" s="2" t="s">
        <v>249</v>
      </c>
      <c r="AA16" s="2" t="s">
        <v>256</v>
      </c>
      <c r="AB16" s="2" t="s">
        <v>254</v>
      </c>
      <c r="AC16" s="2" t="s">
        <v>257</v>
      </c>
      <c r="AD16" s="2" t="s">
        <v>250</v>
      </c>
      <c r="AE16" s="2" t="s">
        <v>102</v>
      </c>
      <c r="AF16" s="2" t="s">
        <v>252</v>
      </c>
      <c r="AG16" s="2" t="s">
        <v>253</v>
      </c>
      <c r="AH16" s="2" t="s">
        <v>249</v>
      </c>
      <c r="AI16" s="2" t="s">
        <v>256</v>
      </c>
      <c r="AJ16" s="2" t="s">
        <v>254</v>
      </c>
      <c r="AK16" s="2" t="s">
        <v>257</v>
      </c>
      <c r="AL16" s="2" t="s">
        <v>250</v>
      </c>
      <c r="AM16" s="2" t="s">
        <v>102</v>
      </c>
      <c r="AN16" s="2" t="s">
        <v>252</v>
      </c>
      <c r="AO16" s="2" t="s">
        <v>253</v>
      </c>
      <c r="AP16" s="2" t="s">
        <v>249</v>
      </c>
      <c r="AQ16" s="2" t="s">
        <v>256</v>
      </c>
      <c r="AR16" s="2" t="s">
        <v>254</v>
      </c>
      <c r="AS16" s="2" t="s">
        <v>257</v>
      </c>
      <c r="AU16" s="5"/>
      <c r="AY16" s="4"/>
      <c r="AZ16" s="6"/>
      <c r="BA16" s="6"/>
      <c r="BB16" s="6"/>
      <c r="BC16" s="6"/>
      <c r="BD16" s="26" t="s">
        <v>241</v>
      </c>
      <c r="BE16" s="24"/>
      <c r="BF16" s="24"/>
      <c r="BG16" s="24"/>
      <c r="BH16" s="24"/>
      <c r="BI16" s="24"/>
      <c r="BJ16" s="24"/>
      <c r="BK16" s="24"/>
      <c r="BL16" s="24"/>
      <c r="BM16" s="24"/>
      <c r="BN16" s="24"/>
      <c r="BO16" s="24"/>
      <c r="BP16" s="25"/>
      <c r="BQ16" s="25"/>
      <c r="BR16" s="25"/>
      <c r="BS16" s="25"/>
    </row>
    <row r="17" spans="5:71" x14ac:dyDescent="0.4">
      <c r="E17" s="6">
        <v>0</v>
      </c>
      <c r="F17" s="6" cm="1">
        <f t="array" ref="F17:F28">IFERROR(_xlfn._xlws.FILTER('Inter-VM Data Table'!$A2:$A901,INDEX('Inter-VM Data Table'!2:901,,MATCH(B3,'Inter-VM Data Table'!1:1,0))="T"),"")</f>
        <v>4</v>
      </c>
      <c r="G17" s="6" t="str" cm="1">
        <f t="array" ref="G17:G28">IFERROR(_xlfn._xlws.FILTER('Inter-VM Data Table'!$D2:$D901,INDEX('Inter-VM Data Table'!2:901,,MATCH(B3,'Inter-VM Data Table'!1:1,0))="T"),"")</f>
        <v>VM3TO2_SIPERR_INF</v>
      </c>
      <c r="H17" s="6" t="str" cm="1">
        <f t="array" ref="H17:H28">IFERROR(_xlfn._xlws.FILTER(INDEX('Inter-VM Data Table'!2:901,,MATCH($B$3,'Inter-VM Data Table'!1:1,0)),INDEX('Inter-VM Data Table'!2:901,,MATCH(B3,'Inter-VM Data Table'!1:1,0))="T"),"")</f>
        <v>T</v>
      </c>
      <c r="I17" s="6" cm="1">
        <f t="array" ref="I17:I28">IFERROR(ROUNDDOWN(     (_xlfn._xlws.FILTER('Inter-VM Data Table'!$I2:$I901,INDEX('Inter-VM Data Table'!2:901,,MATCH(B3,'Inter-VM Data Table'!1:1,0))="T")+3)/4,    0       ),"")</f>
        <v>1</v>
      </c>
      <c r="J17" s="6">
        <v>0</v>
      </c>
      <c r="K17" s="6" t="str" cm="1">
        <f t="array" ref="K17:K28">IF(_xlfn.ANCHORARRAY(G17)=0,K1&amp;G15&amp;TEXT(_xlfn.ANCHORARRAY(F17),"000"),K1&amp;_xlfn.ANCHORARRAY(G17))</f>
        <v>IVDSH_DID_WRI_VM3TO2_SIPERR_INF</v>
      </c>
      <c r="N17" s="6" cm="1">
        <f t="array" ref="N17:N20">IFERROR(_xlfn._xlws.FILTER('Inter-VM Data Table'!$A2:$A901,INDEX('Inter-VM Data Table'!2:901,,MATCH(N1,'Inter-VM Data Table'!1:1,0))="T"),"")</f>
        <v>18</v>
      </c>
      <c r="O17" s="6" t="str" cm="1">
        <f t="array" ref="O17:O20">IFERROR(_xlfn._xlws.FILTER('Inter-VM Data Table'!$D2:$D901,INDEX('Inter-VM Data Table'!2:901,,MATCH(N1,'Inter-VM Data Table'!1:1,0))="T"),"")</f>
        <v>CANBUS_STS_2M1</v>
      </c>
      <c r="P17" s="6" t="str" cm="1">
        <f t="array" ref="P17:P20">IFERROR(_xlfn._xlws.FILTER(INDEX('Inter-VM Data Table'!2:901,,MATCH($B$3,'Inter-VM Data Table'!1:1,0)),INDEX('Inter-VM Data Table'!2:901,,MATCH(N1,'Inter-VM Data Table'!1:1,0))="T"),"")</f>
        <v>-</v>
      </c>
      <c r="Q17" s="6" cm="1">
        <f t="array" ref="Q17:Q20">IFERROR(ROUNDDOWN(     (_xlfn._xlws.FILTER('Inter-VM Data Table'!$I2:$I901,INDEX('Inter-VM Data Table'!2:901,,MATCH(N1,'Inter-VM Data Table'!1:1,0))="T")+3)/4,      0),"")</f>
        <v>1</v>
      </c>
      <c r="R17" s="6" t="str">
        <f>IF(P17="R",Q$15+0,"")</f>
        <v/>
      </c>
      <c r="S17" s="6" t="str">
        <f>IF(R$15=0,"",0)</f>
        <v/>
      </c>
      <c r="T17" s="6" t="str">
        <f>IF(R$15=0,"",$J$15)</f>
        <v/>
      </c>
      <c r="U17" s="6" t="str" cm="1">
        <f t="array" ref="U17:U20">IF(_xlfn.ANCHORARRAY(O17)=0,U1&amp;O15&amp;TEXT(_xlfn.ANCHORARRAY(N17),"000"),U1&amp;_xlfn.ANCHORARRAY(O17))</f>
        <v>IVDSH_DID_REA_CANBUS_STS_2M1</v>
      </c>
      <c r="V17" s="6" cm="1">
        <f t="array" ref="V17:V32">IFERROR(_xlfn._xlws.FILTER('Inter-VM Data Table'!$A2:$A901,INDEX('Inter-VM Data Table'!2:901,,MATCH(V1,'Inter-VM Data Table'!1:1,0))="T"),"")</f>
        <v>1</v>
      </c>
      <c r="W17" s="6" t="str" cm="1">
        <f t="array" ref="W17:W32">IFERROR(_xlfn._xlws.FILTER('Inter-VM Data Table'!$D2:$D901,INDEX('Inter-VM Data Table'!2:901,,MATCH(V1,'Inter-VM Data Table'!1:1,0))="T"),"")</f>
        <v>VM1TO3_STBY</v>
      </c>
      <c r="X17" s="6" t="str" cm="1">
        <f t="array" ref="X17:X32">IFERROR(_xlfn._xlws.FILTER(INDEX('Inter-VM Data Table'!2:901,,MATCH($B$3,'Inter-VM Data Table'!1:1,0)),INDEX('Inter-VM Data Table'!2:901,,MATCH(V1,'Inter-VM Data Table'!1:1,0))="T"),"")</f>
        <v>R</v>
      </c>
      <c r="Y17" s="6" cm="1">
        <f t="array" ref="Y17:Y32">IFERROR(ROUNDDOWN(     (_xlfn._xlws.FILTER('Inter-VM Data Table'!$I2:$I901,INDEX('Inter-VM Data Table'!2:901,,MATCH(V1,'Inter-VM Data Table'!1:1,0))="T")+3)/4,      0),"")</f>
        <v>1</v>
      </c>
      <c r="Z17" s="6">
        <f>IF(X17="R",Y$15+0,"")</f>
        <v>12</v>
      </c>
      <c r="AA17" s="6">
        <f>IF(Z$15=0,"",S15)</f>
        <v>0</v>
      </c>
      <c r="AB17" s="6">
        <f>IF(Z$15=0,"",T$15)</f>
        <v>0</v>
      </c>
      <c r="AC17" s="6" t="str" cm="1">
        <f t="array" ref="AC17:AC32">IF(_xlfn.ANCHORARRAY(W17)=0,AC1&amp;W15&amp;TEXT(_xlfn.ANCHORARRAY(V17),"000"),AC1&amp;_xlfn.ANCHORARRAY(W17))</f>
        <v>IVDSH_DID_REA_VM1TO3_STBY</v>
      </c>
      <c r="AD17" s="6" cm="1">
        <f t="array" ref="AD17:AD39">IFERROR(_xlfn._xlws.FILTER('Inter-VM Data Table'!$A2:$A901,INDEX('Inter-VM Data Table'!2:901,,MATCH(AD1,'Inter-VM Data Table'!1:1,0))="T"),"")</f>
        <v>2</v>
      </c>
      <c r="AE17" s="6" t="str" cm="1">
        <f t="array" ref="AE17:AE39">IFERROR(_xlfn._xlws.FILTER('Inter-VM Data Table'!$D2:$D901,INDEX('Inter-VM Data Table'!2:901,,MATCH(AD1,'Inter-VM Data Table'!1:1,0))="T"),"")</f>
        <v>VM2TO3_STBY</v>
      </c>
      <c r="AF17" s="6" t="str" cm="1">
        <f t="array" ref="AF17:AF39">IFERROR(_xlfn._xlws.FILTER(INDEX('Inter-VM Data Table'!2:901,,MATCH($B$3,'Inter-VM Data Table'!1:1,0)),INDEX('Inter-VM Data Table'!2:901,,MATCH(AD1,'Inter-VM Data Table'!1:1,0))="T"),"")</f>
        <v>R</v>
      </c>
      <c r="AG17" s="6" cm="1">
        <f t="array" ref="AG17:AG39">IFERROR(ROUNDDOWN(     (_xlfn._xlws.FILTER('Inter-VM Data Table'!$I2:$I901,INDEX('Inter-VM Data Table'!2:901,,MATCH(AD1,'Inter-VM Data Table'!1:1,0))="T")+3)/4,      0),"")</f>
        <v>1</v>
      </c>
      <c r="AH17" s="6">
        <f>IF(AF17="R",AG$15+0,"")</f>
        <v>18</v>
      </c>
      <c r="AI17" s="6">
        <f>IF(AH$15=0,"",AA15)</f>
        <v>1</v>
      </c>
      <c r="AJ17" s="6">
        <f>IF(AH$15=0,"",AB$15)</f>
        <v>0</v>
      </c>
      <c r="AK17" s="6" t="str" cm="1">
        <f t="array" ref="AK17:AK39">IF(_xlfn.ANCHORARRAY(AE17)=0,AK1&amp;AE15&amp;TEXT(_xlfn.ANCHORARRAY(AD17),"000"),AK1&amp;_xlfn.ANCHORARRAY(AE17))</f>
        <v>IVDSH_DID_REA_VM2TO3_STBY</v>
      </c>
      <c r="AL17" s="6" cm="1">
        <f t="array" ref="AL17:AL28">IFERROR(_xlfn._xlws.FILTER('Inter-VM Data Table'!$A2:$A901,INDEX('Inter-VM Data Table'!2:901,,MATCH(AL1,'Inter-VM Data Table'!1:1,0))="T"),"")</f>
        <v>4</v>
      </c>
      <c r="AM17" s="6" t="str" cm="1">
        <f t="array" ref="AM17:AM28">IFERROR(_xlfn._xlws.FILTER('Inter-VM Data Table'!$D2:$D901,INDEX('Inter-VM Data Table'!2:901,,MATCH(AL1,'Inter-VM Data Table'!1:1,0))="T"),"")</f>
        <v>VM3TO2_SIPERR_INF</v>
      </c>
      <c r="AN17" s="6" t="str" cm="1">
        <f t="array" ref="AN17:AN28">IFERROR(_xlfn._xlws.FILTER(INDEX('Inter-VM Data Table'!2:901,,MATCH($B$3,'Inter-VM Data Table'!1:1,0)),INDEX('Inter-VM Data Table'!2:901,,MATCH(AL1,'Inter-VM Data Table'!1:1,0))="T"),"")</f>
        <v>T</v>
      </c>
      <c r="AO17" s="6" cm="1">
        <f t="array" ref="AO17:AO28">IFERROR(ROUNDDOWN(     (_xlfn._xlws.FILTER('Inter-VM Data Table'!$I2:$I901,INDEX('Inter-VM Data Table'!2:901,,MATCH(AL1,'Inter-VM Data Table'!1:1,0))="T")+3)/4,      0),"")</f>
        <v>1</v>
      </c>
      <c r="AP17" s="6" t="str">
        <f>IF(AN17="R",AO$15+0,"")</f>
        <v/>
      </c>
      <c r="AQ17" s="6" t="str">
        <f>IF(AP$15=0,"",AI15)</f>
        <v/>
      </c>
      <c r="AR17" s="6" t="str">
        <f>IF(AP$15=0,"",AJ$15)</f>
        <v/>
      </c>
      <c r="AS17" s="6" t="str" cm="1">
        <f t="array" ref="AS17:AS28">IF(_xlfn.ANCHORARRAY(AM17)=0,AS1&amp;AM15&amp;TEXT(_xlfn.ANCHORARRAY(AL17),"000"),AS1&amp;_xlfn.ANCHORARRAY(AM17))</f>
        <v>IVDSH_DID_REA_VM3TO2_SIPERR_INF</v>
      </c>
      <c r="AV17" s="6" t="s">
        <v>258</v>
      </c>
      <c r="AW17" s="6">
        <f>F15</f>
        <v>12</v>
      </c>
      <c r="BA17" s="12" t="s">
        <v>259</v>
      </c>
      <c r="BB17" s="11">
        <f>AW17</f>
        <v>12</v>
      </c>
      <c r="BD17" s="27" t="s">
        <v>260</v>
      </c>
      <c r="BE17" s="11" t="str">
        <f t="shared" ref="BE17:BE80" si="0">IF(F17="","","#define "&amp;K17&amp;REPT(" ",41-LEN(K17))&amp;"("&amp;E17&amp;"U)")</f>
        <v>#define IVDSH_DID_WRI_VM3TO2_SIPERR_INF          (0U)</v>
      </c>
      <c r="BF17" s="11" t="str">
        <f t="shared" ref="BF17:BF80" si="1">IF(R17="","","#define "&amp;U17&amp;REPT(" ",41-LEN(U17))&amp;"("&amp;R17&amp;"U)")</f>
        <v/>
      </c>
      <c r="BG17" s="11" t="str">
        <f t="shared" ref="BG17:BG80" si="2">IF(Z17="","","#define "&amp;AC17&amp;REPT(" ",41-LEN(AC17))&amp;"("&amp;Z17&amp;"U)")</f>
        <v>#define IVDSH_DID_REA_VM1TO3_STBY                (12U)</v>
      </c>
      <c r="BH17" s="11" t="str">
        <f t="shared" ref="BH17:BH80" si="3">IF(AH17="","","#define "&amp;AK17&amp;REPT(" ",41-LEN(AK17))&amp;"("&amp;AH17&amp;"U)")</f>
        <v>#define IVDSH_DID_REA_VM2TO3_STBY                (18U)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IVDSH_DID_WRI_VM3TO2_SIPERR_INF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IVDSH_DID_REA_VM1TO3_STBY       */</v>
      </c>
      <c r="BN17" s="11" t="str">
        <f>IF(AH17="","","    {(U2)"&amp;AJ17&amp;"U,"&amp;REPT(" ",9-LEN(AJ17))&amp;"(U2)"&amp;AG17&amp;"U,"&amp;REPT(" ",10-LEN(AG17))&amp;"(U2)IVDSH_FQ_CH_REA_"&amp;AI17&amp;"},     /* "&amp;AK17&amp;REPT(" ",32-LEN(AK17))&amp;"*/")</f>
        <v xml:space="preserve">    {(U2)0U,        (U2)1U,         (U2)IVDSH_FQ_CH_REA_1},     /* IVDSH_DID_REA_VM2TO3_STBY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x14ac:dyDescent="0.4">
      <c r="E18" s="6">
        <f>E17+1</f>
        <v>1</v>
      </c>
      <c r="F18" s="6">
        <v>5</v>
      </c>
      <c r="G18" s="6" t="str">
        <v>VM3TO2_OTA_OFFSTS</v>
      </c>
      <c r="H18" s="6" t="str">
        <v>T</v>
      </c>
      <c r="I18" s="6">
        <v>1</v>
      </c>
      <c r="J18" s="6">
        <f>IF(F18="","",I17+J17)</f>
        <v>1</v>
      </c>
      <c r="K18" s="6" t="str">
        <v>IVDSH_DID_WRI_VM3TO2_OTA_OFFSTS</v>
      </c>
      <c r="N18" s="6">
        <v>19</v>
      </c>
      <c r="O18" s="6" t="str">
        <v>CANBUS_STS_5M</v>
      </c>
      <c r="P18" s="6" t="str">
        <v>-</v>
      </c>
      <c r="Q18" s="6">
        <v>1</v>
      </c>
      <c r="R18" s="6" t="str">
        <f>IF(P18="R",MAX(R$17:R17,Q$15-1)+1,"")</f>
        <v/>
      </c>
      <c r="S18" s="6" t="str">
        <f>IF(OR(R$15=0,N18=""),"",S17)</f>
        <v/>
      </c>
      <c r="T18" s="6" t="str">
        <f>IF(OR(N18="",R$15=0),"",T17+Q17)</f>
        <v/>
      </c>
      <c r="U18" s="6" t="str">
        <v>IVDSH_DID_REA_CANBUS_STS_5M</v>
      </c>
      <c r="V18" s="6">
        <v>3</v>
      </c>
      <c r="W18" s="6" t="str">
        <v>VM1TO2_TIMOFST</v>
      </c>
      <c r="X18" s="6" t="str">
        <v>-</v>
      </c>
      <c r="Y18" s="6">
        <v>1</v>
      </c>
      <c r="Z18" s="6" t="str">
        <f>IF(X18="R",MAX(Z$17:Z17,Y$15-1)+1,"")</f>
        <v/>
      </c>
      <c r="AA18" s="6">
        <f>IF(OR(Z$15=0,V18=""),"",AA17)</f>
        <v>0</v>
      </c>
      <c r="AB18" s="6">
        <f>IF(OR(V18="",Z$15=0),"",AB17+Y17)</f>
        <v>1</v>
      </c>
      <c r="AC18" s="6" t="str">
        <v>IVDSH_DID_REA_VM1TO2_TIMOFST</v>
      </c>
      <c r="AD18" s="6">
        <v>6</v>
      </c>
      <c r="AE18" s="6" t="str">
        <v>VM2TO1_TIMOFST</v>
      </c>
      <c r="AF18" s="6" t="str">
        <v>-</v>
      </c>
      <c r="AG18" s="6">
        <v>1</v>
      </c>
      <c r="AH18" s="6" t="str">
        <f>IF(AF18="R",MAX(AH$17:AH17,AG$15-1)+1,"")</f>
        <v/>
      </c>
      <c r="AI18" s="6">
        <f t="shared" ref="AI18:AI81" si="5">IF(OR(AH$15=0,AD18=""),"",AI17)</f>
        <v>1</v>
      </c>
      <c r="AJ18" s="6">
        <f t="shared" ref="AJ18:AJ81" si="6">IF(OR(AD18="",AH$15=0),"",AJ17+AG17)</f>
        <v>1</v>
      </c>
      <c r="AK18" s="6" t="str">
        <v>IVDSH_DID_REA_VM2TO1_TIMOFST</v>
      </c>
      <c r="AL18" s="6">
        <v>5</v>
      </c>
      <c r="AM18" s="6" t="str">
        <v>VM3TO2_OTA_OFFSTS</v>
      </c>
      <c r="AN18" s="6" t="str">
        <v>T</v>
      </c>
      <c r="AO18" s="6">
        <v>1</v>
      </c>
      <c r="AP18" s="6" t="str">
        <f>IF(AN18="R",MAX(AP$17:AP17,AO$15-1)+1,"")</f>
        <v/>
      </c>
      <c r="AQ18" s="6" t="str">
        <f>IF(OR(AP$15=0,AL18=""),"",AQ17)</f>
        <v/>
      </c>
      <c r="AR18" s="6" t="str">
        <f>IF(OR(AL18="",AP$15=0),"",AR17+AO17)</f>
        <v/>
      </c>
      <c r="AS18" s="6" t="str">
        <v>IVDSH_DID_REA_VM3TO2_OTA_OFFSTS</v>
      </c>
      <c r="AV18" s="6" t="s">
        <v>261</v>
      </c>
      <c r="AW18" s="6">
        <f>R15+Z15+AH15+AP15</f>
        <v>12</v>
      </c>
      <c r="BA18" s="12" t="s">
        <v>262</v>
      </c>
      <c r="BB18" s="11">
        <f>AW18</f>
        <v>12</v>
      </c>
      <c r="BE18" s="11" t="str">
        <f t="shared" si="0"/>
        <v>#define IVDSH_DID_WRI_VM3TO2_OTA_OFFSTS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IVDSH_DID_WRI_VM3TO2_OTA_OFFSTS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(19U)</v>
      </c>
      <c r="BR18" s="11" t="str">
        <f>IF(AW36="","","    {")</f>
        <v xml:space="preserve">    {</v>
      </c>
      <c r="BS18" s="11" t="str">
        <f>IF(AW26&lt;&gt;"","    {","")</f>
        <v xml:space="preserve">    {</v>
      </c>
    </row>
    <row r="19" spans="5:71" x14ac:dyDescent="0.4">
      <c r="E19" s="6">
        <f t="shared" ref="E19:E82" si="12">E18+1</f>
        <v>2</v>
      </c>
      <c r="F19" s="6">
        <v>24</v>
      </c>
      <c r="G19" s="6" t="str">
        <v>VM3TO2_BOOTLOG_INF</v>
      </c>
      <c r="H19" s="6" t="str">
        <v>T</v>
      </c>
      <c r="I19" s="6">
        <v>1</v>
      </c>
      <c r="J19" s="6">
        <f>IF(F19="","",I18+J18)</f>
        <v>2</v>
      </c>
      <c r="K19" s="6" t="str">
        <v>IVDSH_DID_WRI_VM3TO2_BOOTLOG_INF</v>
      </c>
      <c r="N19" s="6">
        <v>20</v>
      </c>
      <c r="O19" s="6" t="str">
        <v>CANBUS_STS_2M2</v>
      </c>
      <c r="P19" s="6" t="str">
        <v>-</v>
      </c>
      <c r="Q19" s="6">
        <v>1</v>
      </c>
      <c r="R19" s="6" t="str">
        <f>IF(P19="R",MAX(R$17:R18,Q$15-1)+1,"")</f>
        <v/>
      </c>
      <c r="S19" s="6" t="str">
        <f t="shared" ref="S19:S82" si="13">IF(OR(R$15=0,N19=""),"",S18)</f>
        <v/>
      </c>
      <c r="T19" s="6" t="str">
        <f t="shared" ref="T19:T82" si="14">IF(OR(N19="",R$15=0),"",T18+Q18)</f>
        <v/>
      </c>
      <c r="U19" s="6" t="str">
        <v>IVDSH_DID_REA_CANBUS_STS_2M2</v>
      </c>
      <c r="V19" s="6">
        <v>7</v>
      </c>
      <c r="W19" s="6" t="str">
        <v>VM1TO2_TIMFMT</v>
      </c>
      <c r="X19" s="6" t="str">
        <v>-</v>
      </c>
      <c r="Y19" s="6">
        <v>1</v>
      </c>
      <c r="Z19" s="6" t="str">
        <f>IF(X19="R",MAX(Z$17:Z18,Y$15-1)+1,"")</f>
        <v/>
      </c>
      <c r="AA19" s="6">
        <f t="shared" ref="AA19:AA82" si="15">IF(OR(Z$15=0,V19=""),"",AA18)</f>
        <v>0</v>
      </c>
      <c r="AB19" s="6">
        <f t="shared" ref="AB19:AB82" si="16">IF(OR(V19="",Z$15=0),"",AB18+Y18)</f>
        <v>2</v>
      </c>
      <c r="AC19" s="6" t="str">
        <v>IVDSH_DID_REA_VM1TO2_TIMFMT</v>
      </c>
      <c r="AD19" s="6">
        <v>8</v>
      </c>
      <c r="AE19" s="6" t="str">
        <v>VM2TO1_TIMFMT</v>
      </c>
      <c r="AF19" s="6" t="str">
        <v>-</v>
      </c>
      <c r="AG19" s="6">
        <v>1</v>
      </c>
      <c r="AH19" s="6" t="str">
        <f>IF(AF19="R",MAX(AH$17:AH18,AG$15-1)+1,"")</f>
        <v/>
      </c>
      <c r="AI19" s="6">
        <f t="shared" si="5"/>
        <v>1</v>
      </c>
      <c r="AJ19" s="6">
        <f t="shared" si="6"/>
        <v>2</v>
      </c>
      <c r="AK19" s="6" t="str">
        <v>IVDSH_DID_REA_VM2TO1_TIMFMT</v>
      </c>
      <c r="AL19" s="6">
        <v>24</v>
      </c>
      <c r="AM19" s="6" t="str">
        <v>VM3TO2_BOOTLOG_INF</v>
      </c>
      <c r="AN19" s="6" t="str">
        <v>T</v>
      </c>
      <c r="AO19" s="6">
        <v>1</v>
      </c>
      <c r="AP19" s="6" t="str">
        <f>IF(AN19="R",MAX(AP$17:AP18,AO$15-1)+1,"")</f>
        <v/>
      </c>
      <c r="AQ19" s="6" t="str">
        <f t="shared" ref="AQ19:AQ82" si="17">IF(OR(AP$15=0,AL19=""),"",AQ18)</f>
        <v/>
      </c>
      <c r="AR19" s="6" t="str">
        <f t="shared" ref="AR19:AR82" si="18">IF(OR(AL19="",AP$15=0),"",AR18+AO18)</f>
        <v/>
      </c>
      <c r="AS19" s="6" t="str">
        <v>IVDSH_DID_REA_VM3TO2_BOOTLOG_INF</v>
      </c>
      <c r="BA19" s="12" t="s">
        <v>263</v>
      </c>
      <c r="BB19" s="11">
        <f>AW20</f>
        <v>3</v>
      </c>
      <c r="BE19" s="11" t="str">
        <f t="shared" si="0"/>
        <v>#define IVDSH_DID_WRI_VM3TO2_BOOTLOG_INF         (2U)</v>
      </c>
      <c r="BF19" s="11" t="str">
        <f t="shared" si="1"/>
        <v/>
      </c>
      <c r="BG19" s="11" t="str">
        <f t="shared" si="2"/>
        <v/>
      </c>
      <c r="BH19" s="11" t="str">
        <f t="shared" si="3"/>
        <v/>
      </c>
      <c r="BI19" s="11" t="str">
        <f t="shared" si="4"/>
        <v/>
      </c>
      <c r="BJ19" s="11"/>
      <c r="BK19" s="11" t="str">
        <f t="shared" si="7"/>
        <v xml:space="preserve">    {(U2)2U,        (U2)1U,         (U2)IVDSH_FQ_CH_WRI  },     /* IVDSH_DID_WRI_VM3TO2_BOOTLOG_INF*/</v>
      </c>
      <c r="BL19" s="11" t="str">
        <f t="shared" si="8"/>
        <v/>
      </c>
      <c r="BM19" s="11" t="str">
        <f t="shared" si="9"/>
        <v/>
      </c>
      <c r="BN19" s="11" t="str">
        <f t="shared" si="10"/>
        <v/>
      </c>
      <c r="BO19" s="11" t="str">
        <f t="shared" si="11"/>
        <v/>
      </c>
      <c r="BP19" s="11" t="str">
        <v>#define IVDSH_FQ_CH_REA_1                        (1U)</v>
      </c>
      <c r="BQ19" s="11" t="str">
        <v>#define IVDSH_WA_NWORD_REA_1                     (24U)</v>
      </c>
      <c r="BR19" s="11" t="str">
        <f>IF(AW36="","",IF(AW26&lt;&gt;"",
  "        (U2)IVDSH_WA_NWORD_WRI,                                   /* u2_begin */",
  "        (U2)0U,                                                   /* u2_begin */")
)</f>
        <v xml:space="preserve">        (U2)IVDSH_WA_NWORD_WRI,                                   /* u2_begin */</v>
      </c>
      <c r="BS19" s="11" t="str">
        <f>IF(AW26&lt;&gt;"","        (U2)0U,                                                   /* u2_begin */","")</f>
        <v xml:space="preserve">        (U2)0U,                                                   /* u2_begin */</v>
      </c>
    </row>
    <row r="20" spans="5:71" x14ac:dyDescent="0.4">
      <c r="E20" s="6">
        <f t="shared" si="12"/>
        <v>3</v>
      </c>
      <c r="F20" s="6">
        <v>26</v>
      </c>
      <c r="G20" s="6" t="str">
        <v>VM3TO12_RESTART</v>
      </c>
      <c r="H20" s="6" t="str">
        <v>T</v>
      </c>
      <c r="I20" s="6">
        <v>1</v>
      </c>
      <c r="J20" s="6">
        <f t="shared" ref="J20:J83" si="19">IF(F20="","",I19+J19)</f>
        <v>3</v>
      </c>
      <c r="K20" s="6" t="str">
        <v>IVDSH_DID_WRI_VM3TO12_RESTART</v>
      </c>
      <c r="N20" s="6">
        <v>21</v>
      </c>
      <c r="O20" s="6" t="str">
        <v>CANBUS_STS_LCAN</v>
      </c>
      <c r="P20" s="6" t="str">
        <v>-</v>
      </c>
      <c r="Q20" s="6">
        <v>1</v>
      </c>
      <c r="R20" s="6" t="str">
        <f>IF(P20="R",MAX(R$17:R19,Q$15-1)+1,"")</f>
        <v/>
      </c>
      <c r="S20" s="6" t="str">
        <f t="shared" si="13"/>
        <v/>
      </c>
      <c r="T20" s="6" t="str">
        <f t="shared" si="14"/>
        <v/>
      </c>
      <c r="U20" s="6" t="str">
        <v>IVDSH_DID_REA_CANBUS_STS_LCAN</v>
      </c>
      <c r="V20" s="6">
        <v>11</v>
      </c>
      <c r="W20" s="6" t="str">
        <v>VM1TO2_CAL</v>
      </c>
      <c r="X20" s="6" t="str">
        <v>-</v>
      </c>
      <c r="Y20" s="6">
        <v>1</v>
      </c>
      <c r="Z20" s="6" t="str">
        <f>IF(X20="R",MAX(Z$17:Z19,Y$15-1)+1,"")</f>
        <v/>
      </c>
      <c r="AA20" s="6">
        <f t="shared" si="15"/>
        <v>0</v>
      </c>
      <c r="AB20" s="6">
        <f t="shared" si="16"/>
        <v>3</v>
      </c>
      <c r="AC20" s="6" t="str">
        <v>IVDSH_DID_REA_VM1TO2_CAL</v>
      </c>
      <c r="AD20" s="6">
        <v>9</v>
      </c>
      <c r="AE20" s="6" t="str">
        <v>VM2TO1_DSPTIM</v>
      </c>
      <c r="AF20" s="6" t="str">
        <v>-</v>
      </c>
      <c r="AG20" s="6">
        <v>1</v>
      </c>
      <c r="AH20" s="6" t="str">
        <f>IF(AF20="R",MAX(AH$17:AH19,AG$15-1)+1,"")</f>
        <v/>
      </c>
      <c r="AI20" s="6">
        <f t="shared" si="5"/>
        <v>1</v>
      </c>
      <c r="AJ20" s="6">
        <f t="shared" si="6"/>
        <v>3</v>
      </c>
      <c r="AK20" s="6" t="str">
        <v>IVDSH_DID_REA_VM2TO1_DSPTIM</v>
      </c>
      <c r="AL20" s="6">
        <v>26</v>
      </c>
      <c r="AM20" s="6" t="str">
        <v>VM3TO12_RESTART</v>
      </c>
      <c r="AN20" s="6" t="str">
        <v>T</v>
      </c>
      <c r="AO20" s="6">
        <v>1</v>
      </c>
      <c r="AP20" s="6" t="str">
        <f>IF(AN20="R",MAX(AP$17:AP19,AO$15-1)+1,"")</f>
        <v/>
      </c>
      <c r="AQ20" s="6" t="str">
        <f t="shared" si="17"/>
        <v/>
      </c>
      <c r="AR20" s="6" t="str">
        <f t="shared" si="18"/>
        <v/>
      </c>
      <c r="AS20" s="6" t="str">
        <v>IVDSH_DID_REA_VM3TO12_RESTART</v>
      </c>
      <c r="AV20" s="6" t="s">
        <v>264</v>
      </c>
      <c r="AW20" s="6">
        <f>MAX(AW22:AW26)+1</f>
        <v>3</v>
      </c>
      <c r="BA20" s="12" t="s">
        <v>265</v>
      </c>
      <c r="BB20" s="11">
        <f>AW21</f>
        <v>2</v>
      </c>
      <c r="BE20" s="11" t="str">
        <f t="shared" si="0"/>
        <v>#define IVDSH_DID_WRI_VM3TO12_RESTART            (3U)</v>
      </c>
      <c r="BF20" s="11" t="str">
        <f t="shared" si="1"/>
        <v/>
      </c>
      <c r="BG20" s="11" t="str">
        <f t="shared" si="2"/>
        <v/>
      </c>
      <c r="BH20" s="11" t="str">
        <f t="shared" si="3"/>
        <v/>
      </c>
      <c r="BI20" s="11" t="str">
        <f t="shared" si="4"/>
        <v/>
      </c>
      <c r="BJ20" s="11"/>
      <c r="BK20" s="11" t="str">
        <f t="shared" si="7"/>
        <v xml:space="preserve">    {(U2)3U,        (U2)1U,         (U2)IVDSH_FQ_CH_WRI  },     /* IVDSH_DID_WRI_VM3TO12_RESTART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x14ac:dyDescent="0.4">
      <c r="E21" s="6">
        <f t="shared" si="12"/>
        <v>4</v>
      </c>
      <c r="F21" s="6">
        <v>29</v>
      </c>
      <c r="G21" s="6" t="str">
        <v>VM3TO2_BOOT_CNT</v>
      </c>
      <c r="H21" s="6" t="str">
        <v>T</v>
      </c>
      <c r="I21" s="6">
        <v>1</v>
      </c>
      <c r="J21" s="6">
        <f t="shared" si="19"/>
        <v>4</v>
      </c>
      <c r="K21" s="6" t="str">
        <v>IVDSH_DID_WRI_VM3TO2_BOOT_CNT</v>
      </c>
      <c r="R21" s="6" t="str">
        <f>IF(P21="R",MAX(R$17:R20,Q$15-1)+1,"")</f>
        <v/>
      </c>
      <c r="S21" s="6" t="str">
        <f t="shared" si="13"/>
        <v/>
      </c>
      <c r="T21" s="6" t="str">
        <f t="shared" si="14"/>
        <v/>
      </c>
      <c r="V21" s="6">
        <v>13</v>
      </c>
      <c r="W21" s="6" t="str">
        <v>VM1TO2_CALDEF</v>
      </c>
      <c r="X21" s="6" t="str">
        <v>-</v>
      </c>
      <c r="Y21" s="6">
        <v>1</v>
      </c>
      <c r="Z21" s="6" t="str">
        <f>IF(X21="R",MAX(Z$17:Z20,Y$15-1)+1,"")</f>
        <v/>
      </c>
      <c r="AA21" s="6">
        <f t="shared" si="15"/>
        <v>0</v>
      </c>
      <c r="AB21" s="6">
        <f t="shared" si="16"/>
        <v>4</v>
      </c>
      <c r="AC21" s="6" t="str">
        <v>IVDSH_DID_REA_VM1TO2_CALDEF</v>
      </c>
      <c r="AD21" s="6">
        <v>10</v>
      </c>
      <c r="AE21" s="6" t="str">
        <v>VM2TO1_DSPCAL</v>
      </c>
      <c r="AF21" s="6" t="str">
        <v>-</v>
      </c>
      <c r="AG21" s="6">
        <v>1</v>
      </c>
      <c r="AH21" s="6" t="str">
        <f>IF(AF21="R",MAX(AH$17:AH20,AG$15-1)+1,"")</f>
        <v/>
      </c>
      <c r="AI21" s="6">
        <f t="shared" si="5"/>
        <v>1</v>
      </c>
      <c r="AJ21" s="6">
        <f t="shared" si="6"/>
        <v>4</v>
      </c>
      <c r="AK21" s="6" t="str">
        <v>IVDSH_DID_REA_VM2TO1_DSPCAL</v>
      </c>
      <c r="AL21" s="6">
        <v>29</v>
      </c>
      <c r="AM21" s="6" t="str">
        <v>VM3TO2_BOOT_CNT</v>
      </c>
      <c r="AN21" s="6" t="str">
        <v>T</v>
      </c>
      <c r="AO21" s="6">
        <v>1</v>
      </c>
      <c r="AP21" s="6" t="str">
        <f>IF(AN21="R",MAX(AP$17:AP20,AO$15-1)+1,"")</f>
        <v/>
      </c>
      <c r="AQ21" s="6" t="str">
        <f t="shared" si="17"/>
        <v/>
      </c>
      <c r="AR21" s="6" t="str">
        <f t="shared" si="18"/>
        <v/>
      </c>
      <c r="AS21" s="6" t="str">
        <v>IVDSH_DID_REA_VM3TO2_BOOT_CNT</v>
      </c>
      <c r="AV21" s="6" t="s">
        <v>266</v>
      </c>
      <c r="AW21" s="6">
        <f>COUNTIF(AW22:AW25,"&gt;=0")</f>
        <v>2</v>
      </c>
      <c r="AX21" s="30" t="s">
        <v>267</v>
      </c>
      <c r="BA21" s="12" t="s">
        <v>268</v>
      </c>
      <c r="BB21" s="11">
        <f>AW29</f>
        <v>12</v>
      </c>
      <c r="BE21" s="11" t="str">
        <f t="shared" si="0"/>
        <v>#define IVDSH_DID_WRI_VM3TO2_BOOT_CNT            (4U)</v>
      </c>
      <c r="BF21" s="11" t="str">
        <f t="shared" si="1"/>
        <v/>
      </c>
      <c r="BG21" s="11" t="str">
        <f t="shared" si="2"/>
        <v/>
      </c>
      <c r="BH21" s="11" t="str">
        <f t="shared" si="3"/>
        <v/>
      </c>
      <c r="BI21" s="11" t="str">
        <f t="shared" si="4"/>
        <v/>
      </c>
      <c r="BJ21" s="11"/>
      <c r="BK21" s="11" t="str">
        <f t="shared" si="7"/>
        <v xml:space="preserve">    {(U2)4U,        (U2)1U,         (U2)IVDSH_FQ_CH_WRI  },     /* IVDSH_DID_WRI_VM3TO2_BOOT_CNT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x14ac:dyDescent="0.4">
      <c r="E22" s="6">
        <f t="shared" si="12"/>
        <v>5</v>
      </c>
      <c r="F22" s="6">
        <v>30</v>
      </c>
      <c r="G22" s="6" t="str">
        <v>VM3TO2_BOOT_TIME</v>
      </c>
      <c r="H22" s="6" t="str">
        <v>T</v>
      </c>
      <c r="I22" s="6">
        <v>1</v>
      </c>
      <c r="J22" s="6">
        <f t="shared" si="19"/>
        <v>5</v>
      </c>
      <c r="K22" s="6" t="str">
        <v>IVDSH_DID_WRI_VM3TO2_BOOT_TIME</v>
      </c>
      <c r="R22" s="6" t="str">
        <f>IF(P22="R",MAX(R$17:R21,Q$15-1)+1,"")</f>
        <v/>
      </c>
      <c r="S22" s="6" t="str">
        <f t="shared" si="13"/>
        <v/>
      </c>
      <c r="T22" s="6" t="str">
        <f t="shared" si="14"/>
        <v/>
      </c>
      <c r="V22" s="6">
        <v>14</v>
      </c>
      <c r="W22" s="6" t="str">
        <v>VM1TO2_CALMIN</v>
      </c>
      <c r="X22" s="6" t="str">
        <v>-</v>
      </c>
      <c r="Y22" s="6">
        <v>1</v>
      </c>
      <c r="Z22" s="6" t="str">
        <f>IF(X22="R",MAX(Z$17:Z21,Y$15-1)+1,"")</f>
        <v/>
      </c>
      <c r="AA22" s="6">
        <f t="shared" si="15"/>
        <v>0</v>
      </c>
      <c r="AB22" s="6">
        <f t="shared" si="16"/>
        <v>5</v>
      </c>
      <c r="AC22" s="6" t="str">
        <v>IVDSH_DID_REA_VM1TO2_CALMIN</v>
      </c>
      <c r="AD22" s="6">
        <v>12</v>
      </c>
      <c r="AE22" s="6" t="str">
        <v>VM2TO1_CAL</v>
      </c>
      <c r="AF22" s="6" t="str">
        <v>-</v>
      </c>
      <c r="AG22" s="6">
        <v>1</v>
      </c>
      <c r="AH22" s="6" t="str">
        <f>IF(AF22="R",MAX(AH$17:AH21,AG$15-1)+1,"")</f>
        <v/>
      </c>
      <c r="AI22" s="6">
        <f t="shared" si="5"/>
        <v>1</v>
      </c>
      <c r="AJ22" s="6">
        <f t="shared" si="6"/>
        <v>5</v>
      </c>
      <c r="AK22" s="6" t="str">
        <v>IVDSH_DID_REA_VM2TO1_CAL</v>
      </c>
      <c r="AL22" s="6">
        <v>30</v>
      </c>
      <c r="AM22" s="6" t="str">
        <v>VM3TO2_BOOT_TIME</v>
      </c>
      <c r="AN22" s="6" t="str">
        <v>T</v>
      </c>
      <c r="AO22" s="6">
        <v>1</v>
      </c>
      <c r="AP22" s="6" t="str">
        <f>IF(AN22="R",MAX(AP$17:AP21,AO$15-1)+1,"")</f>
        <v/>
      </c>
      <c r="AQ22" s="6" t="str">
        <f t="shared" si="17"/>
        <v/>
      </c>
      <c r="AR22" s="6" t="str">
        <f t="shared" si="18"/>
        <v/>
      </c>
      <c r="AS22" s="6" t="str">
        <v>IVDSH_DID_REA_VM3TO2_BOOT_TIME</v>
      </c>
      <c r="AV22" s="6" t="str">
        <f>"IVDSH_FQ_CH_REA_"&amp;COUNTIF(AW$22:AW22,"&gt;=0")-1</f>
        <v>IVDSH_FQ_CH_REA_-1</v>
      </c>
      <c r="AW22" s="6" t="str">
        <f>IF(AW30="","",COUNTIF(AW$30:AW30,"&gt;0")-1)</f>
        <v/>
      </c>
      <c r="AX22" s="31">
        <v>0</v>
      </c>
      <c r="BA22" s="12" t="s">
        <v>269</v>
      </c>
      <c r="BB22" s="11">
        <f>AW28</f>
        <v>98</v>
      </c>
      <c r="BE22" s="11" t="str">
        <f t="shared" si="0"/>
        <v>#define IVDSH_DID_WRI_VM3TO2_BOOT_TIME           (5U)</v>
      </c>
      <c r="BF22" s="11" t="str">
        <f t="shared" si="1"/>
        <v/>
      </c>
      <c r="BG22" s="11" t="str">
        <f t="shared" si="2"/>
        <v/>
      </c>
      <c r="BH22" s="11" t="str">
        <f t="shared" si="3"/>
        <v/>
      </c>
      <c r="BI22" s="11" t="str">
        <f t="shared" si="4"/>
        <v/>
      </c>
      <c r="BJ22" s="11"/>
      <c r="BK22" s="11" t="str">
        <f t="shared" si="7"/>
        <v xml:space="preserve">    {(U2)5U,        (U2)1U,         (U2)IVDSH_FQ_CH_WRI  },     /* IVDSH_DID_WRI_VM3TO2_BOOT_TIME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x14ac:dyDescent="0.4">
      <c r="E23" s="6">
        <f t="shared" si="12"/>
        <v>6</v>
      </c>
      <c r="F23" s="6">
        <v>31</v>
      </c>
      <c r="G23" s="6" t="str">
        <v>GPS_STS</v>
      </c>
      <c r="H23" s="6" t="str">
        <v>T</v>
      </c>
      <c r="I23" s="6">
        <v>1</v>
      </c>
      <c r="J23" s="6">
        <f t="shared" si="19"/>
        <v>6</v>
      </c>
      <c r="K23" s="6" t="str">
        <v>IVDSH_DID_WRI_GPS_STS</v>
      </c>
      <c r="R23" s="6" t="str">
        <f>IF(P23="R",MAX(R$17:R22,Q$15-1)+1,"")</f>
        <v/>
      </c>
      <c r="S23" s="6" t="str">
        <f t="shared" si="13"/>
        <v/>
      </c>
      <c r="T23" s="6" t="str">
        <f t="shared" si="14"/>
        <v/>
      </c>
      <c r="V23" s="6">
        <v>15</v>
      </c>
      <c r="W23" s="6" t="str">
        <v>VM1TO3_SPI_FAIL</v>
      </c>
      <c r="X23" s="6" t="str">
        <v>R</v>
      </c>
      <c r="Y23" s="6">
        <v>1</v>
      </c>
      <c r="Z23" s="6">
        <f>IF(X23="R",MAX(Z$17:Z22,Y$15-1)+1,"")</f>
        <v>13</v>
      </c>
      <c r="AA23" s="6">
        <f t="shared" si="15"/>
        <v>0</v>
      </c>
      <c r="AB23" s="6">
        <f t="shared" si="16"/>
        <v>6</v>
      </c>
      <c r="AC23" s="6" t="str">
        <v>IVDSH_DID_REA_VM1TO3_SPI_FAIL</v>
      </c>
      <c r="AD23" s="6">
        <v>16</v>
      </c>
      <c r="AE23" s="6" t="str">
        <v>VM2TO1_CAM_DIAP</v>
      </c>
      <c r="AF23" s="6" t="str">
        <v>-</v>
      </c>
      <c r="AG23" s="6">
        <v>1</v>
      </c>
      <c r="AH23" s="6" t="str">
        <f>IF(AF23="R",MAX(AH$17:AH22,AG$15-1)+1,"")</f>
        <v/>
      </c>
      <c r="AI23" s="6">
        <f t="shared" si="5"/>
        <v>1</v>
      </c>
      <c r="AJ23" s="6">
        <f t="shared" si="6"/>
        <v>6</v>
      </c>
      <c r="AK23" s="6" t="str">
        <v>IVDSH_DID_REA_VM2TO1_CAM_DIAP</v>
      </c>
      <c r="AL23" s="6">
        <v>31</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270</v>
      </c>
      <c r="BB23" s="11" t="str">
        <f>IF(AW29&lt;&gt;0,"&amp;st_sp_IVDSH_FQ_CH[IVDSH_FQ_CH_WRI]","vdp_PTR_NA")</f>
        <v>&amp;st_sp_IVDSH_FQ_CH[IVDSH_FQ_CH_WRI]</v>
      </c>
      <c r="BE23" s="11" t="str">
        <f t="shared" si="0"/>
        <v>#define IVDSH_DID_WRI_GPS_STS                    (6U)</v>
      </c>
      <c r="BF23" s="11" t="str">
        <f t="shared" si="1"/>
        <v/>
      </c>
      <c r="BG23" s="11" t="str">
        <f t="shared" si="2"/>
        <v>#define IVDSH_DID_REA_VM1TO3_SPI_FAIL            (13U)</v>
      </c>
      <c r="BH23" s="11" t="str">
        <f t="shared" si="3"/>
        <v/>
      </c>
      <c r="BI23" s="11" t="str">
        <f t="shared" si="4"/>
        <v/>
      </c>
      <c r="BJ23" s="11"/>
      <c r="BK23" s="11" t="str">
        <f t="shared" si="7"/>
        <v xml:space="preserve">    {(U2)6U,        (U2)1U,         (U2)IVDSH_FQ_CH_WRI  },     /* IVDSH_DID_WRI_GPS_STS           */</v>
      </c>
      <c r="BL23" s="11" t="str">
        <f t="shared" si="8"/>
        <v/>
      </c>
      <c r="BM23" s="11" t="str">
        <f t="shared" si="9"/>
        <v xml:space="preserve">    {(U2)6U,        (U2)1U,         (U2)IVDSH_FQ_CH_REA_0},     /* IVDSH_DID_REA_VM1TO3_SPI_FAIL   */</v>
      </c>
      <c r="BN23" s="11" t="str">
        <f t="shared" si="10"/>
        <v/>
      </c>
      <c r="BO23" s="11" t="str">
        <f t="shared" si="11"/>
        <v/>
      </c>
      <c r="BP23" s="11"/>
      <c r="BQ23" s="11"/>
      <c r="BR23" s="11" t="str">
        <f>IF(AW37="","","    /* IVDSH_FQ_CH_REA_1 */")</f>
        <v xml:space="preserve">    /* IVDSH_FQ_CH_REA_1 */</v>
      </c>
      <c r="BS23" s="11"/>
    </row>
    <row r="24" spans="5:71" x14ac:dyDescent="0.4">
      <c r="E24" s="6">
        <f t="shared" si="12"/>
        <v>7</v>
      </c>
      <c r="F24" s="6">
        <v>49</v>
      </c>
      <c r="G24" s="6" t="str">
        <v>VM3TO2_WHLINI_INF</v>
      </c>
      <c r="H24" s="6" t="str">
        <v>T</v>
      </c>
      <c r="I24" s="6">
        <v>1</v>
      </c>
      <c r="J24" s="6">
        <f t="shared" si="19"/>
        <v>7</v>
      </c>
      <c r="K24" s="6" t="str">
        <v>IVDSH_DID_WRI_VM3TO2_WHLINI_INF</v>
      </c>
      <c r="R24" s="6" t="str">
        <f>IF(P24="R",MAX(R$17:R23,Q$15-1)+1,"")</f>
        <v/>
      </c>
      <c r="S24" s="6" t="str">
        <f t="shared" si="13"/>
        <v/>
      </c>
      <c r="T24" s="6" t="str">
        <f t="shared" si="14"/>
        <v/>
      </c>
      <c r="V24" s="6">
        <v>17</v>
      </c>
      <c r="W24" s="6" t="str">
        <v>VM1TO2_CAM_DIAP</v>
      </c>
      <c r="X24" s="6" t="str">
        <v>-</v>
      </c>
      <c r="Y24" s="6">
        <v>1</v>
      </c>
      <c r="Z24" s="6" t="str">
        <f>IF(X24="R",MAX(Z$17:Z23,Y$15-1)+1,"")</f>
        <v/>
      </c>
      <c r="AA24" s="6">
        <f t="shared" si="15"/>
        <v>0</v>
      </c>
      <c r="AB24" s="6">
        <f t="shared" si="16"/>
        <v>7</v>
      </c>
      <c r="AC24" s="6" t="str">
        <v>IVDSH_DID_REA_VM1TO2_CAM_DIAP</v>
      </c>
      <c r="AD24" s="6">
        <v>23</v>
      </c>
      <c r="AE24" s="6" t="str">
        <v>VM2TO3_WHLINI_INF</v>
      </c>
      <c r="AF24" s="6" t="str">
        <v>R</v>
      </c>
      <c r="AG24" s="6">
        <v>1</v>
      </c>
      <c r="AH24" s="6">
        <f>IF(AF24="R",MAX(AH$17:AH23,AG$15-1)+1,"")</f>
        <v>19</v>
      </c>
      <c r="AI24" s="6">
        <f t="shared" si="5"/>
        <v>1</v>
      </c>
      <c r="AJ24" s="6">
        <f t="shared" si="6"/>
        <v>7</v>
      </c>
      <c r="AK24" s="6" t="str">
        <v>IVDSH_DID_REA_VM2TO3_WHLINI_INF</v>
      </c>
      <c r="AL24" s="6">
        <v>49</v>
      </c>
      <c r="AM24" s="6" t="str">
        <v>VM3TO2_WHLINI_INF</v>
      </c>
      <c r="AN24" s="6" t="str">
        <v>T</v>
      </c>
      <c r="AO24" s="6">
        <v>1</v>
      </c>
      <c r="AP24" s="6" t="str">
        <f>IF(AN24="R",MAX(AP$17:AP23,AO$15-1)+1,"")</f>
        <v/>
      </c>
      <c r="AQ24" s="6" t="str">
        <f t="shared" si="17"/>
        <v/>
      </c>
      <c r="AR24" s="6" t="str">
        <f t="shared" si="18"/>
        <v/>
      </c>
      <c r="AS24" s="6" t="str">
        <v>IVDSH_DID_REA_VM3TO2_WHLINI_INF</v>
      </c>
      <c r="AV24" s="6" t="str">
        <f>"IVDSH_FQ_CH_REA_"&amp;COUNTIF(AW$22:AW24,"&gt;=0")-1</f>
        <v>IVDSH_FQ_CH_REA_1</v>
      </c>
      <c r="AW24" s="6">
        <f>IF(AW32="","",COUNTIF(AW$30:AW32,"&gt;0")-1)</f>
        <v>1</v>
      </c>
      <c r="AX24" s="31">
        <v>2</v>
      </c>
      <c r="BA24" s="12" t="s">
        <v>271</v>
      </c>
      <c r="BB24" s="11" t="str">
        <f>IF(AW21&lt;&gt;0,"&amp;st_sp_IVDSH_FQ_CH[IVDSH_FQ_CH_REA_0]","&amp;st_sp_IVDSH_FQ_CH[IVDSH_FQ_CH_WRI]")</f>
        <v>&amp;st_sp_IVDSH_FQ_CH[IVDSH_FQ_CH_REA_0]</v>
      </c>
      <c r="BE24" s="11" t="str">
        <f t="shared" si="0"/>
        <v>#define IVDSH_DID_WRI_VM3TO2_WHLINI_INF          (7U)</v>
      </c>
      <c r="BF24" s="11" t="str">
        <f t="shared" si="1"/>
        <v/>
      </c>
      <c r="BG24" s="11" t="str">
        <f t="shared" si="2"/>
        <v/>
      </c>
      <c r="BH24" s="11" t="str">
        <f t="shared" si="3"/>
        <v>#define IVDSH_DID_REA_VM2TO3_WHLINI_INF          (19U)</v>
      </c>
      <c r="BI24" s="11" t="str">
        <f t="shared" si="4"/>
        <v/>
      </c>
      <c r="BJ24" s="11"/>
      <c r="BK24" s="11" t="str">
        <f t="shared" si="7"/>
        <v xml:space="preserve">    {(U2)7U,        (U2)1U,         (U2)IVDSH_FQ_CH_WRI  },     /* IVDSH_DID_WRI_VM3TO2_WHLINI_INF */</v>
      </c>
      <c r="BL24" s="11" t="str">
        <f t="shared" si="8"/>
        <v/>
      </c>
      <c r="BM24" s="11" t="str">
        <f t="shared" si="9"/>
        <v/>
      </c>
      <c r="BN24" s="11" t="str">
        <f t="shared" si="10"/>
        <v xml:space="preserve">    {(U2)7U,        (U2)1U,         (U2)IVDSH_FQ_CH_REA_1},     /* IVDSH_DID_REA_VM2TO3_WHLINI_INF */</v>
      </c>
      <c r="BO24" s="11" t="str">
        <f t="shared" si="11"/>
        <v/>
      </c>
      <c r="BP24" s="11"/>
      <c r="BQ24" s="11"/>
      <c r="BR24" s="11" t="str">
        <f>IF(AW37="","","    {")</f>
        <v xml:space="preserve">    {</v>
      </c>
      <c r="BS24" s="11"/>
    </row>
    <row r="25" spans="5:71" x14ac:dyDescent="0.4">
      <c r="E25" s="6">
        <f t="shared" si="12"/>
        <v>8</v>
      </c>
      <c r="F25" s="6">
        <v>50</v>
      </c>
      <c r="G25" s="6" t="str">
        <v>VM3TO1_WHLINI_STA</v>
      </c>
      <c r="H25" s="6" t="str">
        <v>T</v>
      </c>
      <c r="I25" s="6">
        <v>1</v>
      </c>
      <c r="J25" s="6">
        <f t="shared" si="19"/>
        <v>8</v>
      </c>
      <c r="K25" s="6" t="str">
        <v>IVDSH_DID_WRI_VM3TO1_WHLINI_STA</v>
      </c>
      <c r="R25" s="6" t="str">
        <f>IF(P25="R",MAX(R$17:R24,Q$15-1)+1,"")</f>
        <v/>
      </c>
      <c r="S25" s="6" t="str">
        <f t="shared" si="13"/>
        <v/>
      </c>
      <c r="T25" s="6" t="str">
        <f t="shared" si="14"/>
        <v/>
      </c>
      <c r="V25" s="6">
        <v>22</v>
      </c>
      <c r="W25" s="6" t="str">
        <v>VM1TO2_FLYNOP</v>
      </c>
      <c r="X25" s="6" t="str">
        <v>-</v>
      </c>
      <c r="Y25" s="6">
        <v>1</v>
      </c>
      <c r="Z25" s="6" t="str">
        <f>IF(X25="R",MAX(Z$17:Z24,Y$15-1)+1,"")</f>
        <v/>
      </c>
      <c r="AA25" s="6">
        <f t="shared" si="15"/>
        <v>0</v>
      </c>
      <c r="AB25" s="6">
        <f t="shared" si="16"/>
        <v>8</v>
      </c>
      <c r="AC25" s="6" t="str">
        <v>IVDSH_DID_REA_VM1TO2_FLYNOP</v>
      </c>
      <c r="AD25" s="6">
        <v>27</v>
      </c>
      <c r="AE25" s="6" t="str">
        <v>VM2TO3_STRMODE</v>
      </c>
      <c r="AF25" s="6" t="str">
        <v>R</v>
      </c>
      <c r="AG25" s="6">
        <v>1</v>
      </c>
      <c r="AH25" s="6">
        <f>IF(AF25="R",MAX(AH$17:AH24,AG$15-1)+1,"")</f>
        <v>20</v>
      </c>
      <c r="AI25" s="6">
        <f t="shared" si="5"/>
        <v>1</v>
      </c>
      <c r="AJ25" s="6">
        <f t="shared" si="6"/>
        <v>8</v>
      </c>
      <c r="AK25" s="6" t="str">
        <v>IVDSH_DID_REA_VM2TO3_STRMODE</v>
      </c>
      <c r="AL25" s="6">
        <v>50</v>
      </c>
      <c r="AM25" s="6" t="str">
        <v>VM3TO1_WHLINI_STA</v>
      </c>
      <c r="AN25" s="6" t="str">
        <v>T</v>
      </c>
      <c r="AO25" s="6">
        <v>1</v>
      </c>
      <c r="AP25" s="6" t="str">
        <f>IF(AN25="R",MAX(AP$17:AP24,AO$15-1)+1,"")</f>
        <v/>
      </c>
      <c r="AQ25" s="6" t="str">
        <f t="shared" si="17"/>
        <v/>
      </c>
      <c r="AR25" s="6" t="str">
        <f t="shared" si="18"/>
        <v/>
      </c>
      <c r="AS25" s="6" t="str">
        <v>IVDSH_DID_REA_VM3TO1_WHLINI_STA</v>
      </c>
      <c r="AV25" s="6" t="str">
        <f>"IVDSH_FQ_CH_REA_"&amp;COUNTIF(AW$22:AW25,"&gt;=0")-1</f>
        <v>IVDSH_FQ_CH_REA_1</v>
      </c>
      <c r="AW25" s="6" t="str">
        <f>IF(AW33="","",COUNTIF(AW$30:AW33,"&gt;0")-1)</f>
        <v/>
      </c>
      <c r="AX25" s="31">
        <v>3</v>
      </c>
      <c r="BA25" s="12" t="s">
        <v>272</v>
      </c>
      <c r="BB25" s="11" t="str">
        <f>B4</f>
        <v>"ehvm_cfg_pe3_vm0.h"</v>
      </c>
      <c r="BE25" s="11" t="str">
        <f t="shared" si="0"/>
        <v>#define IVDSH_DID_WRI_VM3TO1_WHLINI_STA          (8U)</v>
      </c>
      <c r="BF25" s="11" t="str">
        <f t="shared" si="1"/>
        <v/>
      </c>
      <c r="BG25" s="11" t="str">
        <f t="shared" si="2"/>
        <v/>
      </c>
      <c r="BH25" s="11" t="str">
        <f t="shared" si="3"/>
        <v>#define IVDSH_DID_REA_VM2TO3_STRMODE             (20U)</v>
      </c>
      <c r="BI25" s="11" t="str">
        <f t="shared" si="4"/>
        <v/>
      </c>
      <c r="BJ25" s="11"/>
      <c r="BK25" s="11" t="str">
        <f t="shared" si="7"/>
        <v xml:space="preserve">    {(U2)8U,        (U2)1U,         (U2)IVDSH_FQ_CH_WRI  },     /* IVDSH_DID_WRI_VM3TO1_WHLINI_STA */</v>
      </c>
      <c r="BL25" s="11" t="str">
        <f t="shared" si="8"/>
        <v/>
      </c>
      <c r="BM25" s="11" t="str">
        <f t="shared" si="9"/>
        <v/>
      </c>
      <c r="BN25" s="11" t="str">
        <f t="shared" si="10"/>
        <v xml:space="preserve">    {(U2)8U,        (U2)1U,         (U2)IVDSH_FQ_CH_REA_1},     /* IVDSH_DID_REA_VM2TO3_STRMODE    */</v>
      </c>
      <c r="BO25" s="11" t="str">
        <f t="shared" si="11"/>
        <v/>
      </c>
      <c r="BP25" s="11"/>
      <c r="BQ25" s="11"/>
      <c r="BR25" s="11" t="str">
        <f>IF(AW37="","",IF(AW26&lt;&gt;"",
  "        ((U2)IVDSH_WA_NWORD_WRI          +                        /* u2_begin */",
  "       (U2)IVDSH_WA_NWORD_REA_0,                                  /* u2_begin */")
)</f>
        <v xml:space="preserve">        ((U2)IVDSH_WA_NWORD_WRI          +                        /* u2_begin */</v>
      </c>
      <c r="BS25" s="11"/>
    </row>
    <row r="26" spans="5:71" x14ac:dyDescent="0.4">
      <c r="E26" s="6">
        <f t="shared" si="12"/>
        <v>9</v>
      </c>
      <c r="F26" s="6">
        <v>51</v>
      </c>
      <c r="G26" s="6" t="str">
        <v>VM3TO1_SOC_POW_STS</v>
      </c>
      <c r="H26" s="6" t="str">
        <v>T</v>
      </c>
      <c r="I26" s="6">
        <v>1</v>
      </c>
      <c r="J26" s="6">
        <f t="shared" si="19"/>
        <v>9</v>
      </c>
      <c r="K26" s="6" t="str">
        <v>IVDSH_DID_WRI_VM3TO1_SOC_POW_STS</v>
      </c>
      <c r="R26" s="6" t="str">
        <f>IF(P26="R",MAX(R$17:R25,Q$15-1)+1,"")</f>
        <v/>
      </c>
      <c r="S26" s="6" t="str">
        <f t="shared" si="13"/>
        <v/>
      </c>
      <c r="T26" s="6" t="str">
        <f t="shared" si="14"/>
        <v/>
      </c>
      <c r="V26" s="6">
        <v>25</v>
      </c>
      <c r="W26" s="6" t="str">
        <v>VM1TO23_FSLP</v>
      </c>
      <c r="X26" s="6" t="str">
        <v>R</v>
      </c>
      <c r="Y26" s="6">
        <v>1</v>
      </c>
      <c r="Z26" s="6">
        <f>IF(X26="R",MAX(Z$17:Z25,Y$15-1)+1,"")</f>
        <v>14</v>
      </c>
      <c r="AA26" s="6">
        <f t="shared" si="15"/>
        <v>0</v>
      </c>
      <c r="AB26" s="6">
        <f t="shared" si="16"/>
        <v>9</v>
      </c>
      <c r="AC26" s="6" t="str">
        <v>IVDSH_DID_REA_VM1TO23_FSLP</v>
      </c>
      <c r="AD26" s="6">
        <v>28</v>
      </c>
      <c r="AE26" s="6" t="str">
        <v>VM2TO3_OPESTS</v>
      </c>
      <c r="AF26" s="6" t="str">
        <v>R</v>
      </c>
      <c r="AG26" s="6">
        <v>1</v>
      </c>
      <c r="AH26" s="6">
        <f>IF(AF26="R",MAX(AH$17:AH25,AG$15-1)+1,"")</f>
        <v>21</v>
      </c>
      <c r="AI26" s="6">
        <f t="shared" si="5"/>
        <v>1</v>
      </c>
      <c r="AJ26" s="6">
        <f t="shared" si="6"/>
        <v>9</v>
      </c>
      <c r="AK26" s="6" t="str">
        <v>IVDSH_DID_REA_VM2TO3_OPESTS</v>
      </c>
      <c r="AL26" s="6">
        <v>51</v>
      </c>
      <c r="AM26" s="6" t="str">
        <v>VM3TO1_SOC_POW_STS</v>
      </c>
      <c r="AN26" s="6" t="str">
        <v>T</v>
      </c>
      <c r="AO26" s="6">
        <v>1</v>
      </c>
      <c r="AP26" s="6" t="str">
        <f>IF(AN26="R",MAX(AP$17:AP25,AO$15-1)+1,"")</f>
        <v/>
      </c>
      <c r="AQ26" s="6" t="str">
        <f t="shared" si="17"/>
        <v/>
      </c>
      <c r="AR26" s="6" t="str">
        <f t="shared" si="18"/>
        <v/>
      </c>
      <c r="AS26" s="6" t="str">
        <v>IVDSH_DID_REA_VM3TO1_SOC_POW_STS</v>
      </c>
      <c r="AV26" s="6" t="s">
        <v>273</v>
      </c>
      <c r="AW26" s="6">
        <f>IF(AW29=0,"",COUNTIF(AW$29:AW33,"&gt;0")-1)</f>
        <v>2</v>
      </c>
      <c r="BA26" s="12"/>
      <c r="BE26" s="11" t="str">
        <f t="shared" si="0"/>
        <v>#define IVDSH_DID_WRI_VM3TO1_SOC_POW_STS         (9U)</v>
      </c>
      <c r="BF26" s="11" t="str">
        <f t="shared" si="1"/>
        <v/>
      </c>
      <c r="BG26" s="11" t="str">
        <f t="shared" si="2"/>
        <v>#define IVDSH_DID_REA_VM1TO23_FSLP               (14U)</v>
      </c>
      <c r="BH26" s="11" t="str">
        <f t="shared" si="3"/>
        <v>#define IVDSH_DID_REA_VM2TO3_OPESTS              (21U)</v>
      </c>
      <c r="BI26" s="11" t="str">
        <f t="shared" si="4"/>
        <v/>
      </c>
      <c r="BJ26" s="11"/>
      <c r="BK26" s="11" t="str">
        <f t="shared" si="7"/>
        <v xml:space="preserve">    {(U2)9U,        (U2)1U,         (U2)IVDSH_FQ_CH_WRI  },     /* IVDSH_DID_WRI_VM3TO1_SOC_POW_STS*/</v>
      </c>
      <c r="BL26" s="11" t="str">
        <f t="shared" si="8"/>
        <v/>
      </c>
      <c r="BM26" s="11" t="str">
        <f t="shared" si="9"/>
        <v xml:space="preserve">    {(U2)9U,        (U2)1U,         (U2)IVDSH_FQ_CH_REA_0},     /* IVDSH_DID_REA_VM1TO23_FSLP      */</v>
      </c>
      <c r="BN26" s="11" t="str">
        <f t="shared" si="10"/>
        <v xml:space="preserve">    {(U2)9U,        (U2)1U,         (U2)IVDSH_FQ_CH_REA_1},     /* IVDSH_DID_REA_VM2TO3_OPESTS     */</v>
      </c>
      <c r="BO26" s="11" t="str">
        <f t="shared" si="11"/>
        <v/>
      </c>
      <c r="BP26" s="11"/>
      <c r="BQ26" s="11"/>
      <c r="BR26" s="11" t="str">
        <f>IF(AW37="","",IF(AW26&lt;&gt;"",
  "         ((U2)IVDSH_WA_NWORD_REA_0 &lt;&lt; 1)),",
  "")
)</f>
        <v xml:space="preserve">         ((U2)IVDSH_WA_NWORD_REA_0 &lt;&lt; 1)),</v>
      </c>
      <c r="BS26" s="11"/>
    </row>
    <row r="27" spans="5:71" x14ac:dyDescent="0.4">
      <c r="E27" s="6">
        <f t="shared" si="12"/>
        <v>10</v>
      </c>
      <c r="F27" s="6">
        <v>53</v>
      </c>
      <c r="G27" s="6" t="str">
        <v>VM3TO2_WKUP_COND</v>
      </c>
      <c r="H27" s="6" t="str">
        <v>T</v>
      </c>
      <c r="I27" s="6">
        <v>1</v>
      </c>
      <c r="J27" s="6">
        <f t="shared" si="19"/>
        <v>10</v>
      </c>
      <c r="K27" s="6" t="str">
        <v>IVDSH_DID_WRI_VM3TO2_WKUP_COND</v>
      </c>
      <c r="R27" s="6" t="str">
        <f>IF(P27="R",MAX(R$17:R26,Q$15-1)+1,"")</f>
        <v/>
      </c>
      <c r="S27" s="6" t="str">
        <f t="shared" si="13"/>
        <v/>
      </c>
      <c r="T27" s="6" t="str">
        <f t="shared" si="14"/>
        <v/>
      </c>
      <c r="V27" s="6">
        <v>34</v>
      </c>
      <c r="W27" s="6" t="str">
        <v>VM1TO2_WHLINI_RES</v>
      </c>
      <c r="X27" s="6" t="str">
        <v>-</v>
      </c>
      <c r="Y27" s="6">
        <v>1</v>
      </c>
      <c r="Z27" s="6" t="str">
        <f>IF(X27="R",MAX(Z$17:Z26,Y$15-1)+1,"")</f>
        <v/>
      </c>
      <c r="AA27" s="6">
        <f t="shared" si="15"/>
        <v>0</v>
      </c>
      <c r="AB27" s="6">
        <f t="shared" si="16"/>
        <v>10</v>
      </c>
      <c r="AC27" s="6" t="str">
        <v>IVDSH_DID_REA_VM1TO2_WHLINI_RES</v>
      </c>
      <c r="AD27" s="6">
        <v>32</v>
      </c>
      <c r="AE27" s="6" t="str">
        <v>GPS_REQ</v>
      </c>
      <c r="AF27" s="6" t="str">
        <v>R</v>
      </c>
      <c r="AG27" s="6">
        <v>1</v>
      </c>
      <c r="AH27" s="6">
        <f>IF(AF27="R",MAX(AH$17:AH26,AG$15-1)+1,"")</f>
        <v>22</v>
      </c>
      <c r="AI27" s="6">
        <f t="shared" si="5"/>
        <v>1</v>
      </c>
      <c r="AJ27" s="6">
        <f t="shared" si="6"/>
        <v>10</v>
      </c>
      <c r="AK27" s="6" t="str">
        <v>IVDSH_DID_REA_GPS_REQ</v>
      </c>
      <c r="AL27" s="6">
        <v>53</v>
      </c>
      <c r="AM27" s="6" t="str">
        <v>VM3TO2_WKUP_COND</v>
      </c>
      <c r="AN27" s="6" t="str">
        <v>T</v>
      </c>
      <c r="AO27" s="6">
        <v>1</v>
      </c>
      <c r="AP27" s="6" t="str">
        <f>IF(AN27="R",MAX(AP$17:AP26,AO$15-1)+1,"")</f>
        <v/>
      </c>
      <c r="AQ27" s="6" t="str">
        <f t="shared" si="17"/>
        <v/>
      </c>
      <c r="AR27" s="6" t="str">
        <f t="shared" si="18"/>
        <v/>
      </c>
      <c r="AS27" s="6" t="str">
        <v>IVDSH_DID_REA_VM3TO2_WKUP_COND</v>
      </c>
      <c r="BA27" s="12"/>
      <c r="BE27" s="11" t="str">
        <f t="shared" si="0"/>
        <v>#define IVDSH_DID_WRI_VM3TO2_WKUP_COND           (10U)</v>
      </c>
      <c r="BF27" s="11" t="str">
        <f t="shared" si="1"/>
        <v/>
      </c>
      <c r="BG27" s="11" t="str">
        <f t="shared" si="2"/>
        <v/>
      </c>
      <c r="BH27" s="11" t="str">
        <f t="shared" si="3"/>
        <v>#define IVDSH_DID_REA_GPS_REQ                    (22U)</v>
      </c>
      <c r="BI27" s="11" t="str">
        <f t="shared" si="4"/>
        <v/>
      </c>
      <c r="BJ27" s="11"/>
      <c r="BK27" s="11" t="str">
        <f t="shared" si="7"/>
        <v xml:space="preserve">    {(U2)10U,       (U2)1U,         (U2)IVDSH_FQ_CH_WRI  },     /* IVDSH_DID_WRI_VM3TO2_WKUP_COND  */</v>
      </c>
      <c r="BL27" s="11" t="str">
        <f t="shared" si="8"/>
        <v/>
      </c>
      <c r="BM27" s="11" t="str">
        <f t="shared" si="9"/>
        <v/>
      </c>
      <c r="BN27" s="11" t="str">
        <f t="shared" si="10"/>
        <v xml:space="preserve">    {(U2)10U,       (U2)1U,         (U2)IVDSH_FQ_CH_REA_1},     /* IVDSH_DID_REA_GPS_REQ           */</v>
      </c>
      <c r="BO27" s="11" t="str">
        <f t="shared" si="11"/>
        <v/>
      </c>
      <c r="BP27" s="11"/>
      <c r="BQ27" s="11"/>
      <c r="BR27" s="11" t="str">
        <f>IF(AW37="","","        (U2)IVDSH_WA_NWORD_REA_1,                                 /* u2_nword */")</f>
        <v xml:space="preserve">        (U2)IVDSH_WA_NWORD_REA_1,                                 /* u2_nword */</v>
      </c>
      <c r="BS27" s="11"/>
    </row>
    <row r="28" spans="5:71" x14ac:dyDescent="0.4">
      <c r="E28" s="6">
        <f t="shared" si="12"/>
        <v>11</v>
      </c>
      <c r="F28" s="6">
        <v>54</v>
      </c>
      <c r="G28" s="6" t="str">
        <v>VM3TO2_USRRST_MASK</v>
      </c>
      <c r="H28" s="6" t="str">
        <v>T</v>
      </c>
      <c r="I28" s="6">
        <v>1</v>
      </c>
      <c r="J28" s="6">
        <f t="shared" si="19"/>
        <v>11</v>
      </c>
      <c r="K28" s="6" t="str">
        <v>IVDSH_DID_WRI_VM3TO2_USRRST_MASK</v>
      </c>
      <c r="R28" s="6" t="str">
        <f>IF(P28="R",MAX(R$17:R27,Q$15-1)+1,"")</f>
        <v/>
      </c>
      <c r="S28" s="6" t="str">
        <f t="shared" si="13"/>
        <v/>
      </c>
      <c r="T28" s="6" t="str">
        <f t="shared" si="14"/>
        <v/>
      </c>
      <c r="V28" s="6">
        <v>35</v>
      </c>
      <c r="W28" s="6" t="str">
        <v>VM1TO3_WHLINI_INF</v>
      </c>
      <c r="X28" s="6" t="str">
        <v>R</v>
      </c>
      <c r="Y28" s="6">
        <v>1</v>
      </c>
      <c r="Z28" s="6">
        <f>IF(X28="R",MAX(Z$17:Z27,Y$15-1)+1,"")</f>
        <v>15</v>
      </c>
      <c r="AA28" s="6">
        <f t="shared" si="15"/>
        <v>0</v>
      </c>
      <c r="AB28" s="6">
        <f t="shared" si="16"/>
        <v>11</v>
      </c>
      <c r="AC28" s="6" t="str">
        <v>IVDSH_DID_REA_VM1TO3_WHLINI_INF</v>
      </c>
      <c r="AD28" s="6">
        <v>33</v>
      </c>
      <c r="AE28" s="6" t="str">
        <v>VM2TO1_WHLINI_REQ</v>
      </c>
      <c r="AF28" s="6" t="str">
        <v>-</v>
      </c>
      <c r="AG28" s="6">
        <v>1</v>
      </c>
      <c r="AH28" s="6" t="str">
        <f>IF(AF28="R",MAX(AH$17:AH27,AG$15-1)+1,"")</f>
        <v/>
      </c>
      <c r="AI28" s="6">
        <f t="shared" si="5"/>
        <v>1</v>
      </c>
      <c r="AJ28" s="6">
        <f t="shared" si="6"/>
        <v>11</v>
      </c>
      <c r="AK28" s="6" t="str">
        <v>IVDSH_DID_REA_VM2TO1_WHLINI_REQ</v>
      </c>
      <c r="AL28" s="6">
        <v>54</v>
      </c>
      <c r="AM28" s="6" t="str">
        <v>VM3TO2_USRRST_MASK</v>
      </c>
      <c r="AN28" s="6" t="str">
        <v>T</v>
      </c>
      <c r="AO28" s="6">
        <v>1</v>
      </c>
      <c r="AP28" s="6" t="str">
        <f>IF(AN28="R",MAX(AP$17:AP27,AO$15-1)+1,"")</f>
        <v/>
      </c>
      <c r="AQ28" s="6" t="str">
        <f t="shared" si="17"/>
        <v/>
      </c>
      <c r="AR28" s="6" t="str">
        <f t="shared" si="18"/>
        <v/>
      </c>
      <c r="AS28" s="6" t="str">
        <v>IVDSH_DID_REA_VM3TO2_USRRST_MASK</v>
      </c>
      <c r="AV28" s="6" t="s">
        <v>274</v>
      </c>
      <c r="AW28" s="6">
        <f>AW29+SUM(AW30:AW33)*2</f>
        <v>98</v>
      </c>
      <c r="BA28" s="12"/>
      <c r="BE28" s="11" t="str">
        <f t="shared" si="0"/>
        <v>#define IVDSH_DID_WRI_VM3TO2_USRRST_MASK         (11U)</v>
      </c>
      <c r="BF28" s="11" t="str">
        <f t="shared" si="1"/>
        <v/>
      </c>
      <c r="BG28" s="11" t="str">
        <f t="shared" si="2"/>
        <v>#define IVDSH_DID_REA_VM1TO3_WHLINI_INF          (15U)</v>
      </c>
      <c r="BH28" s="11" t="str">
        <f t="shared" si="3"/>
        <v/>
      </c>
      <c r="BI28" s="11" t="str">
        <f t="shared" si="4"/>
        <v/>
      </c>
      <c r="BJ28" s="11"/>
      <c r="BK28" s="11" t="str">
        <f t="shared" si="7"/>
        <v xml:space="preserve">    {(U2)11U,       (U2)1U,         (U2)IVDSH_FQ_CH_WRI  },     /* IVDSH_DID_WRI_VM3TO2_USRRST_MASK*/</v>
      </c>
      <c r="BL28" s="11" t="str">
        <f t="shared" si="8"/>
        <v/>
      </c>
      <c r="BM28" s="11" t="str">
        <f t="shared" si="9"/>
        <v xml:space="preserve">    {(U2)11U,       (U2)1U,         (U2)IVDSH_FQ_CH_REA_0},     /* IVDSH_DID_REA_VM1TO3_WHLINI_INF */</v>
      </c>
      <c r="BN28" s="11" t="str">
        <f t="shared" si="10"/>
        <v/>
      </c>
      <c r="BO28" s="11" t="str">
        <f t="shared" si="11"/>
        <v/>
      </c>
      <c r="BP28" s="11"/>
      <c r="BQ28" s="11"/>
      <c r="BR28" s="11" t="str" cm="1">
        <f t="array" ref="BR28">IF(AW37="","","        (U2)"&amp;INDEX(B6:B9,AX37+1)&amp;"                       /* u2_fq_ch */")</f>
        <v xml:space="preserve">        (U2)EHVM_RX_VCCID_VCC_SHARED_TX_VM2                       /* u2_fq_ch */</v>
      </c>
      <c r="BS28" s="11"/>
    </row>
    <row r="29" spans="5:71" x14ac:dyDescent="0.4">
      <c r="E29" s="6">
        <f t="shared" si="12"/>
        <v>12</v>
      </c>
      <c r="J29" s="6" t="str">
        <f t="shared" si="19"/>
        <v/>
      </c>
      <c r="R29" s="6" t="str">
        <f>IF(P29="R",MAX(R$17:R28,Q$15-1)+1,"")</f>
        <v/>
      </c>
      <c r="S29" s="6" t="str">
        <f t="shared" si="13"/>
        <v/>
      </c>
      <c r="T29" s="6" t="str">
        <f t="shared" si="14"/>
        <v/>
      </c>
      <c r="V29" s="6">
        <v>45</v>
      </c>
      <c r="W29" s="6" t="str">
        <v>VM1TO2_MET1D51</v>
      </c>
      <c r="X29" s="6" t="str">
        <v>-</v>
      </c>
      <c r="Y29" s="6">
        <v>2</v>
      </c>
      <c r="Z29" s="6" t="str">
        <f>IF(X29="R",MAX(Z$17:Z28,Y$15-1)+1,"")</f>
        <v/>
      </c>
      <c r="AA29" s="6">
        <f t="shared" si="15"/>
        <v>0</v>
      </c>
      <c r="AB29" s="6">
        <f t="shared" si="16"/>
        <v>12</v>
      </c>
      <c r="AC29" s="6" t="str">
        <v>IVDSH_DID_REA_VM1TO2_MET1D51</v>
      </c>
      <c r="AD29" s="6">
        <v>36</v>
      </c>
      <c r="AE29" s="6" t="str">
        <v>VM2TO3_DIN2_STAT</v>
      </c>
      <c r="AF29" s="6" t="str">
        <v>R</v>
      </c>
      <c r="AG29" s="6">
        <v>1</v>
      </c>
      <c r="AH29" s="6">
        <f>IF(AF29="R",MAX(AH$17:AH28,AG$15-1)+1,"")</f>
        <v>23</v>
      </c>
      <c r="AI29" s="6">
        <f t="shared" si="5"/>
        <v>1</v>
      </c>
      <c r="AJ29" s="6">
        <f t="shared" si="6"/>
        <v>12</v>
      </c>
      <c r="AK29" s="6" t="str">
        <v>IVDSH_DID_REA_VM2TO3_DIN2_STAT</v>
      </c>
      <c r="AP29" s="6" t="str">
        <f>IF(AN29="R",MAX(AP$17:AP28,AO$15-1)+1,"")</f>
        <v/>
      </c>
      <c r="AQ29" s="6" t="str">
        <f t="shared" si="17"/>
        <v/>
      </c>
      <c r="AR29" s="6" t="str">
        <f t="shared" si="18"/>
        <v/>
      </c>
      <c r="AV29" s="6" t="s">
        <v>275</v>
      </c>
      <c r="AW29" s="6">
        <f>SUM(I$17:I529)</f>
        <v>12</v>
      </c>
      <c r="AX29" s="30" t="s">
        <v>267</v>
      </c>
      <c r="BA29" s="12"/>
      <c r="BE29" s="11" t="str">
        <f t="shared" si="0"/>
        <v/>
      </c>
      <c r="BF29" s="11" t="str">
        <f t="shared" si="1"/>
        <v/>
      </c>
      <c r="BG29" s="11" t="str">
        <f t="shared" si="2"/>
        <v/>
      </c>
      <c r="BH29" s="11" t="str">
        <f t="shared" si="3"/>
        <v>#define IVDSH_DID_REA_VM2TO3_DIN2_STAT           (23U)</v>
      </c>
      <c r="BI29" s="11" t="str">
        <f t="shared" si="4"/>
        <v/>
      </c>
      <c r="BJ29" s="11"/>
      <c r="BK29" s="11" t="str">
        <f t="shared" si="7"/>
        <v/>
      </c>
      <c r="BL29" s="11" t="str">
        <f t="shared" si="8"/>
        <v/>
      </c>
      <c r="BM29" s="11" t="str">
        <f t="shared" si="9"/>
        <v/>
      </c>
      <c r="BN29" s="11" t="str">
        <f t="shared" si="10"/>
        <v xml:space="preserve">    {(U2)12U,       (U2)1U,         (U2)IVDSH_FQ_CH_REA_1},     /* IVDSH_DID_REA_VM2TO3_DIN2_STAT  */</v>
      </c>
      <c r="BO29" s="11" t="str">
        <f t="shared" si="11"/>
        <v/>
      </c>
      <c r="BP29" s="11"/>
      <c r="BQ29" s="11"/>
      <c r="BR29" s="28" t="str">
        <f>IF(AW37="","","    },")</f>
        <v xml:space="preserve">    },</v>
      </c>
      <c r="BS29" s="11"/>
    </row>
    <row r="30" spans="5:71" x14ac:dyDescent="0.4">
      <c r="E30" s="6">
        <f t="shared" si="12"/>
        <v>13</v>
      </c>
      <c r="J30" s="6" t="str">
        <f t="shared" si="19"/>
        <v/>
      </c>
      <c r="R30" s="6" t="str">
        <f>IF(P30="R",MAX(R$17:R29,Q$15-1)+1,"")</f>
        <v/>
      </c>
      <c r="S30" s="6" t="str">
        <f t="shared" si="13"/>
        <v/>
      </c>
      <c r="T30" s="6" t="str">
        <f t="shared" si="14"/>
        <v/>
      </c>
      <c r="V30" s="6">
        <v>48</v>
      </c>
      <c r="W30" s="6" t="str">
        <v>FWUPXRES</v>
      </c>
      <c r="X30" s="6" t="str">
        <v>-</v>
      </c>
      <c r="Y30" s="6">
        <v>2</v>
      </c>
      <c r="Z30" s="6" t="str">
        <f>IF(X30="R",MAX(Z$17:Z29,Y$15-1)+1,"")</f>
        <v/>
      </c>
      <c r="AA30" s="6">
        <f t="shared" si="15"/>
        <v>0</v>
      </c>
      <c r="AB30" s="6">
        <f t="shared" si="16"/>
        <v>14</v>
      </c>
      <c r="AC30" s="6" t="str">
        <v>IVDSH_DID_REA_FWUPXRES</v>
      </c>
      <c r="AD30" s="6">
        <v>37</v>
      </c>
      <c r="AE30" s="6" t="str">
        <v>VM2TO1_DMS1S02</v>
      </c>
      <c r="AF30" s="6" t="str">
        <v>-</v>
      </c>
      <c r="AG30" s="6">
        <v>1</v>
      </c>
      <c r="AH30" s="6" t="str">
        <f>IF(AF30="R",MAX(AH$17:AH29,AG$15-1)+1,"")</f>
        <v/>
      </c>
      <c r="AI30" s="6">
        <f t="shared" si="5"/>
        <v>1</v>
      </c>
      <c r="AJ30" s="6">
        <f t="shared" si="6"/>
        <v>13</v>
      </c>
      <c r="AK30" s="6" t="str">
        <v>IVDSH_DID_REA_VM2TO1_DMS1S02</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x14ac:dyDescent="0.4">
      <c r="E31" s="6">
        <f t="shared" si="12"/>
        <v>14</v>
      </c>
      <c r="J31" s="6" t="str">
        <f t="shared" si="19"/>
        <v/>
      </c>
      <c r="R31" s="6" t="str">
        <f>IF(P31="R",MAX(R$17:R30,Q$15-1)+1,"")</f>
        <v/>
      </c>
      <c r="S31" s="6" t="str">
        <f t="shared" si="13"/>
        <v/>
      </c>
      <c r="T31" s="6" t="str">
        <f t="shared" si="14"/>
        <v/>
      </c>
      <c r="V31" s="6">
        <v>52</v>
      </c>
      <c r="W31" s="6" t="str">
        <v>VM1TO3_NMDIAG</v>
      </c>
      <c r="X31" s="6" t="str">
        <v>R</v>
      </c>
      <c r="Y31" s="6">
        <v>1</v>
      </c>
      <c r="Z31" s="6">
        <f>IF(X31="R",MAX(Z$17:Z30,Y$15-1)+1,"")</f>
        <v>16</v>
      </c>
      <c r="AA31" s="6">
        <f t="shared" si="15"/>
        <v>0</v>
      </c>
      <c r="AB31" s="6">
        <f t="shared" si="16"/>
        <v>16</v>
      </c>
      <c r="AC31" s="6" t="str">
        <v>IVDSH_DID_REA_VM1TO3_NMDIAG</v>
      </c>
      <c r="AD31" s="6">
        <v>38</v>
      </c>
      <c r="AE31" s="6" t="str">
        <v>VM2TO1_MET1S27</v>
      </c>
      <c r="AF31" s="6" t="str">
        <v>-</v>
      </c>
      <c r="AG31" s="6">
        <v>1</v>
      </c>
      <c r="AH31" s="6" t="str">
        <f>IF(AF31="R",MAX(AH$17:AH30,AG$15-1)+1,"")</f>
        <v/>
      </c>
      <c r="AI31" s="6">
        <f t="shared" si="5"/>
        <v>1</v>
      </c>
      <c r="AJ31" s="6">
        <f t="shared" si="6"/>
        <v>14</v>
      </c>
      <c r="AK31" s="6" t="str">
        <v>IVDSH_DID_REA_VM2TO1_MET1S27</v>
      </c>
      <c r="AP31" s="6" t="str">
        <f>IF(AN31="R",MAX(AP$17:AP30,AO$15-1)+1,"")</f>
        <v/>
      </c>
      <c r="AQ31" s="6" t="str">
        <f t="shared" si="17"/>
        <v/>
      </c>
      <c r="AR31" s="6" t="str">
        <f t="shared" si="18"/>
        <v/>
      </c>
      <c r="AV31" s="6" t="str">
        <f>"IVDSH_WA_NWORD_REA_"&amp;COUNTIF(AW$30:AW31,"&gt;0")-1</f>
        <v>IVDSH_WA_NWORD_REA_0</v>
      </c>
      <c r="AW31" s="6">
        <f>IF(Z15&lt;&gt;0,SUM(Y$17:Y529),"")</f>
        <v>19</v>
      </c>
      <c r="AX31" s="31">
        <v>1</v>
      </c>
      <c r="BE31" s="11" t="str">
        <f t="shared" si="0"/>
        <v/>
      </c>
      <c r="BF31" s="11" t="str">
        <f t="shared" si="1"/>
        <v/>
      </c>
      <c r="BG31" s="11" t="str">
        <f t="shared" si="2"/>
        <v>#define IVDSH_DID_REA_VM1TO3_NMDIAG              (16U)</v>
      </c>
      <c r="BH31" s="11" t="str">
        <f t="shared" si="3"/>
        <v/>
      </c>
      <c r="BI31" s="11" t="str">
        <f t="shared" si="4"/>
        <v/>
      </c>
      <c r="BJ31" s="11"/>
      <c r="BK31" s="11" t="str">
        <f t="shared" si="7"/>
        <v/>
      </c>
      <c r="BL31" s="11" t="str">
        <f t="shared" si="8"/>
        <v/>
      </c>
      <c r="BM31" s="11" t="str">
        <f t="shared" si="9"/>
        <v xml:space="preserve">    {(U2)16U,       (U2)1U,         (U2)IVDSH_FQ_CH_REA_0},     /* IVDSH_DID_REA_VM1TO3_NMDIAG     */</v>
      </c>
      <c r="BN31" s="11" t="str">
        <f t="shared" si="10"/>
        <v/>
      </c>
      <c r="BO31" s="11" t="str">
        <f t="shared" si="11"/>
        <v/>
      </c>
      <c r="BP31" s="11"/>
      <c r="BQ31" s="11"/>
      <c r="BR31" s="11" t="str">
        <f>IF(AW38="","","    {")</f>
        <v/>
      </c>
      <c r="BS31" s="11"/>
    </row>
    <row r="32" spans="5:71" x14ac:dyDescent="0.4">
      <c r="E32" s="6">
        <f t="shared" si="12"/>
        <v>15</v>
      </c>
      <c r="J32" s="6" t="str">
        <f t="shared" si="19"/>
        <v/>
      </c>
      <c r="R32" s="6" t="str">
        <f>IF(P32="R",MAX(R$17:R31,Q$15-1)+1,"")</f>
        <v/>
      </c>
      <c r="S32" s="6" t="str">
        <f t="shared" si="13"/>
        <v/>
      </c>
      <c r="T32" s="6" t="str">
        <f t="shared" si="14"/>
        <v/>
      </c>
      <c r="V32" s="6">
        <v>55</v>
      </c>
      <c r="W32" s="6" t="str">
        <v>VM1TO3_MAC_ADDRESS</v>
      </c>
      <c r="X32" s="6" t="str">
        <v>R</v>
      </c>
      <c r="Y32" s="6">
        <v>2</v>
      </c>
      <c r="Z32" s="6">
        <f>IF(X32="R",MAX(Z$17:Z31,Y$15-1)+1,"")</f>
        <v>17</v>
      </c>
      <c r="AA32" s="6">
        <f t="shared" si="15"/>
        <v>0</v>
      </c>
      <c r="AB32" s="6">
        <f t="shared" si="16"/>
        <v>17</v>
      </c>
      <c r="AC32" s="6" t="str">
        <v>IVDSH_DID_REA_VM1TO3_MAC_ADDRESS</v>
      </c>
      <c r="AD32" s="6">
        <v>39</v>
      </c>
      <c r="AE32" s="6" t="str">
        <v>VM2TO1_MET1S28</v>
      </c>
      <c r="AF32" s="6" t="str">
        <v>-</v>
      </c>
      <c r="AG32" s="6">
        <v>1</v>
      </c>
      <c r="AH32" s="6" t="str">
        <f>IF(AF32="R",MAX(AH$17:AH31,AG$15-1)+1,"")</f>
        <v/>
      </c>
      <c r="AI32" s="6">
        <f t="shared" si="5"/>
        <v>1</v>
      </c>
      <c r="AJ32" s="6">
        <f t="shared" si="6"/>
        <v>15</v>
      </c>
      <c r="AK32" s="6" t="str">
        <v>IVDSH_DID_REA_VM2TO1_MET1S28</v>
      </c>
      <c r="AP32" s="6" t="str">
        <f>IF(AN32="R",MAX(AP$17:AP31,AO$15-1)+1,"")</f>
        <v/>
      </c>
      <c r="AQ32" s="6" t="str">
        <f t="shared" si="17"/>
        <v/>
      </c>
      <c r="AR32" s="6" t="str">
        <f t="shared" si="18"/>
        <v/>
      </c>
      <c r="AV32" s="6" t="str">
        <f>"IVDSH_WA_NWORD_REA_"&amp;COUNTIF(AW$30:AW32,"&gt;0")-1</f>
        <v>IVDSH_WA_NWORD_REA_1</v>
      </c>
      <c r="AW32" s="6">
        <f>IF(AH15&lt;&gt;0,SUM(AG$17:AG529),"")</f>
        <v>24</v>
      </c>
      <c r="AX32" s="31">
        <v>2</v>
      </c>
      <c r="BE32" s="11" t="str">
        <f t="shared" si="0"/>
        <v/>
      </c>
      <c r="BF32" s="11" t="str">
        <f t="shared" si="1"/>
        <v/>
      </c>
      <c r="BG32" s="11" t="str">
        <f t="shared" si="2"/>
        <v>#define IVDSH_DID_REA_VM1TO3_MAC_ADDRESS         (17U)</v>
      </c>
      <c r="BH32" s="11" t="str">
        <f t="shared" si="3"/>
        <v/>
      </c>
      <c r="BI32" s="11" t="str">
        <f t="shared" si="4"/>
        <v/>
      </c>
      <c r="BJ32" s="11"/>
      <c r="BK32" s="11" t="str">
        <f t="shared" si="7"/>
        <v/>
      </c>
      <c r="BL32" s="11" t="str">
        <f t="shared" si="8"/>
        <v/>
      </c>
      <c r="BM32" s="11" t="str">
        <f t="shared" si="9"/>
        <v xml:space="preserve">    {(U2)17U,       (U2)2U,         (U2)IVDSH_FQ_CH_REA_0},     /* IVDSH_DID_REA_VM1TO3_MAC_ADDRESS*/</v>
      </c>
      <c r="BN32" s="11" t="str">
        <f t="shared" si="10"/>
        <v/>
      </c>
      <c r="BO32" s="11" t="str">
        <f t="shared" si="11"/>
        <v/>
      </c>
      <c r="BP32" s="11"/>
      <c r="BQ32" s="11"/>
      <c r="BR32" s="11" t="str">
        <f>IF(AW38="","",IF(AW26&lt;&gt;"",
  "        ((U2)IVDSH_WA_NWORD_WRI          +                        /* u2_begin */",
  "       (U2)IVDSH_WA_NWORD_REA_0,                                  /* u2_begin */")
)</f>
        <v/>
      </c>
      <c r="BS32" s="11"/>
    </row>
    <row r="33" spans="5:71" x14ac:dyDescent="0.4">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D33" s="6">
        <v>40</v>
      </c>
      <c r="AE33" s="6" t="str">
        <v>VM2TO1_MET1S29</v>
      </c>
      <c r="AF33" s="6" t="str">
        <v>-</v>
      </c>
      <c r="AG33" s="6">
        <v>1</v>
      </c>
      <c r="AH33" s="6" t="str">
        <f>IF(AF33="R",MAX(AH$17:AH32,AG$15-1)+1,"")</f>
        <v/>
      </c>
      <c r="AI33" s="6">
        <f t="shared" si="5"/>
        <v>1</v>
      </c>
      <c r="AJ33" s="6">
        <f t="shared" si="6"/>
        <v>16</v>
      </c>
      <c r="AK33" s="6" t="str">
        <v>IVDSH_DID_REA_VM2TO1_MET1S29</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x14ac:dyDescent="0.4">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D34" s="6">
        <v>41</v>
      </c>
      <c r="AE34" s="6" t="str">
        <v>VM2TO1_MET1S30</v>
      </c>
      <c r="AF34" s="6" t="str">
        <v>-</v>
      </c>
      <c r="AG34" s="6">
        <v>1</v>
      </c>
      <c r="AH34" s="6" t="str">
        <f>IF(AF34="R",MAX(AH$17:AH33,AG$15-1)+1,"")</f>
        <v/>
      </c>
      <c r="AI34" s="6">
        <f t="shared" si="5"/>
        <v>1</v>
      </c>
      <c r="AJ34" s="6">
        <f t="shared" si="6"/>
        <v>17</v>
      </c>
      <c r="AK34" s="6" t="str">
        <v>IVDSH_DID_REA_VM2TO1_MET1S30</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x14ac:dyDescent="0.4">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D35" s="6">
        <v>42</v>
      </c>
      <c r="AE35" s="6" t="str">
        <v>VM2TO1_MET1S43</v>
      </c>
      <c r="AF35" s="6" t="str">
        <v>-</v>
      </c>
      <c r="AG35" s="6">
        <v>1</v>
      </c>
      <c r="AH35" s="6" t="str">
        <f>IF(AF35="R",MAX(AH$17:AH34,AG$15-1)+1,"")</f>
        <v/>
      </c>
      <c r="AI35" s="6">
        <f t="shared" si="5"/>
        <v>1</v>
      </c>
      <c r="AJ35" s="6">
        <f t="shared" si="6"/>
        <v>18</v>
      </c>
      <c r="AK35" s="6" t="str">
        <v>IVDSH_DID_REA_VM2TO1_MET1S43</v>
      </c>
      <c r="AP35" s="6" t="str">
        <f>IF(AN35="R",MAX(AP$17:AP34,AO$15-1)+1,"")</f>
        <v/>
      </c>
      <c r="AQ35" s="6" t="str">
        <f t="shared" si="17"/>
        <v/>
      </c>
      <c r="AR35" s="6" t="str">
        <f t="shared" si="18"/>
        <v/>
      </c>
      <c r="AV35" s="30" t="s">
        <v>276</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x14ac:dyDescent="0.4">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D36" s="6">
        <v>43</v>
      </c>
      <c r="AE36" s="6" t="str">
        <v>VM2TO1_MET1S62</v>
      </c>
      <c r="AF36" s="6" t="str">
        <v>-</v>
      </c>
      <c r="AG36" s="6">
        <v>1</v>
      </c>
      <c r="AH36" s="6" t="str">
        <f>IF(AF36="R",MAX(AH$17:AH35,AG$15-1)+1,"")</f>
        <v/>
      </c>
      <c r="AI36" s="6">
        <f t="shared" si="5"/>
        <v>1</v>
      </c>
      <c r="AJ36" s="6">
        <f t="shared" si="6"/>
        <v>19</v>
      </c>
      <c r="AK36" s="6" t="str">
        <v>IVDSH_DID_REA_VM2TO1_MET1S62</v>
      </c>
      <c r="AP36" s="6" t="str">
        <f>IF(AN36="R",MAX(AP$17:AP35,AO$15-1)+1,"")</f>
        <v/>
      </c>
      <c r="AQ36" s="6" t="str">
        <f t="shared" si="17"/>
        <v/>
      </c>
      <c r="AR36" s="6" t="str">
        <f t="shared" si="18"/>
        <v/>
      </c>
      <c r="AV36" s="6" t="s">
        <v>277</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x14ac:dyDescent="0.4">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D37" s="6">
        <v>44</v>
      </c>
      <c r="AE37" s="6" t="str">
        <v>VM2TO1_MET1S70</v>
      </c>
      <c r="AF37" s="6" t="str">
        <v>-</v>
      </c>
      <c r="AG37" s="6">
        <v>1</v>
      </c>
      <c r="AH37" s="6" t="str">
        <f>IF(AF37="R",MAX(AH$17:AH36,AG$15-1)+1,"")</f>
        <v/>
      </c>
      <c r="AI37" s="6">
        <f t="shared" si="5"/>
        <v>1</v>
      </c>
      <c r="AJ37" s="6">
        <f t="shared" si="6"/>
        <v>20</v>
      </c>
      <c r="AK37" s="6" t="str">
        <v>IVDSH_DID_REA_VM2TO1_MET1S70</v>
      </c>
      <c r="AP37" s="6" t="str">
        <f>IF(AN37="R",MAX(AP$17:AP36,AO$15-1)+1,"")</f>
        <v/>
      </c>
      <c r="AQ37" s="6" t="str">
        <f t="shared" si="17"/>
        <v/>
      </c>
      <c r="AR37" s="6" t="str">
        <f t="shared" si="18"/>
        <v/>
      </c>
      <c r="AV37" s="6" t="s">
        <v>278</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x14ac:dyDescent="0.4">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D38" s="6">
        <v>46</v>
      </c>
      <c r="AE38" s="6" t="str">
        <v>FWUPXREQ_H</v>
      </c>
      <c r="AF38" s="6" t="str">
        <v>-</v>
      </c>
      <c r="AG38" s="6">
        <v>2</v>
      </c>
      <c r="AH38" s="6" t="str">
        <f>IF(AF38="R",MAX(AH$17:AH37,AG$15-1)+1,"")</f>
        <v/>
      </c>
      <c r="AI38" s="6">
        <f t="shared" si="5"/>
        <v>1</v>
      </c>
      <c r="AJ38" s="6">
        <f t="shared" si="6"/>
        <v>21</v>
      </c>
      <c r="AK38" s="6" t="str">
        <v>IVDSH_DID_REA_FWUPXREQ_H</v>
      </c>
      <c r="AP38" s="6" t="str">
        <f>IF(AN38="R",MAX(AP$17:AP37,AO$15-1)+1,"")</f>
        <v/>
      </c>
      <c r="AQ38" s="6" t="str">
        <f t="shared" si="17"/>
        <v/>
      </c>
      <c r="AR38" s="6" t="str">
        <f t="shared" si="18"/>
        <v/>
      </c>
      <c r="AV38" s="6" t="s">
        <v>279</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x14ac:dyDescent="0.4">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D39" s="6">
        <v>47</v>
      </c>
      <c r="AE39" s="6" t="str">
        <v>FWUPXREQ_D</v>
      </c>
      <c r="AF39" s="6" t="str">
        <v>-</v>
      </c>
      <c r="AG39" s="6">
        <v>1</v>
      </c>
      <c r="AH39" s="6" t="str">
        <f>IF(AF39="R",MAX(AH$17:AH38,AG$15-1)+1,"")</f>
        <v/>
      </c>
      <c r="AI39" s="6">
        <f t="shared" si="5"/>
        <v>1</v>
      </c>
      <c r="AJ39" s="6">
        <f t="shared" si="6"/>
        <v>23</v>
      </c>
      <c r="AK39" s="6" t="str">
        <v>IVDSH_DID_REA_FWUPXREQ_D</v>
      </c>
      <c r="AP39" s="6" t="str">
        <f>IF(AN39="R",MAX(AP$17:AP38,AO$15-1)+1,"")</f>
        <v/>
      </c>
      <c r="AQ39" s="6" t="str">
        <f t="shared" si="17"/>
        <v/>
      </c>
      <c r="AR39" s="6" t="str">
        <f t="shared" si="18"/>
        <v/>
      </c>
      <c r="AV39" s="6" t="s">
        <v>280</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x14ac:dyDescent="0.4">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x14ac:dyDescent="0.4">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x14ac:dyDescent="0.4">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x14ac:dyDescent="0.4">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x14ac:dyDescent="0.4">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x14ac:dyDescent="0.4">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x14ac:dyDescent="0.4">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x14ac:dyDescent="0.4">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x14ac:dyDescent="0.4">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x14ac:dyDescent="0.4">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x14ac:dyDescent="0.4">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x14ac:dyDescent="0.4">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x14ac:dyDescent="0.4">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x14ac:dyDescent="0.4">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x14ac:dyDescent="0.4">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x14ac:dyDescent="0.4">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x14ac:dyDescent="0.4">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x14ac:dyDescent="0.4">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x14ac:dyDescent="0.4">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x14ac:dyDescent="0.4">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x14ac:dyDescent="0.4">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x14ac:dyDescent="0.4">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x14ac:dyDescent="0.4">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x14ac:dyDescent="0.4">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x14ac:dyDescent="0.4">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x14ac:dyDescent="0.4">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x14ac:dyDescent="0.4">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x14ac:dyDescent="0.4">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x14ac:dyDescent="0.4">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x14ac:dyDescent="0.4">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x14ac:dyDescent="0.4">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x14ac:dyDescent="0.4">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x14ac:dyDescent="0.4">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x14ac:dyDescent="0.4">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x14ac:dyDescent="0.4">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x14ac:dyDescent="0.4">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x14ac:dyDescent="0.4">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x14ac:dyDescent="0.4">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x14ac:dyDescent="0.4">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x14ac:dyDescent="0.4">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x14ac:dyDescent="0.4">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x14ac:dyDescent="0.4">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x14ac:dyDescent="0.4">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x14ac:dyDescent="0.4">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x14ac:dyDescent="0.4">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x14ac:dyDescent="0.4">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x14ac:dyDescent="0.4">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x14ac:dyDescent="0.4">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x14ac:dyDescent="0.4">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x14ac:dyDescent="0.4">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x14ac:dyDescent="0.4">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x14ac:dyDescent="0.4">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x14ac:dyDescent="0.4">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x14ac:dyDescent="0.4">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x14ac:dyDescent="0.4">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x14ac:dyDescent="0.4">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x14ac:dyDescent="0.4">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x14ac:dyDescent="0.4">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x14ac:dyDescent="0.4">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x14ac:dyDescent="0.4">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x14ac:dyDescent="0.4">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x14ac:dyDescent="0.4">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x14ac:dyDescent="0.4">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x14ac:dyDescent="0.4">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x14ac:dyDescent="0.4">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x14ac:dyDescent="0.4">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x14ac:dyDescent="0.4">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x14ac:dyDescent="0.4">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x14ac:dyDescent="0.4">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x14ac:dyDescent="0.4">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x14ac:dyDescent="0.4">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x14ac:dyDescent="0.4">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x14ac:dyDescent="0.4">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x14ac:dyDescent="0.4">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x14ac:dyDescent="0.4">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x14ac:dyDescent="0.4">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x14ac:dyDescent="0.4">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x14ac:dyDescent="0.4">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x14ac:dyDescent="0.4">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x14ac:dyDescent="0.4">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x14ac:dyDescent="0.4">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x14ac:dyDescent="0.4">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x14ac:dyDescent="0.4">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x14ac:dyDescent="0.4">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x14ac:dyDescent="0.4">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x14ac:dyDescent="0.4">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x14ac:dyDescent="0.4">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x14ac:dyDescent="0.4">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x14ac:dyDescent="0.4">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x14ac:dyDescent="0.4">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x14ac:dyDescent="0.4">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x14ac:dyDescent="0.4">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x14ac:dyDescent="0.4">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x14ac:dyDescent="0.4">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x14ac:dyDescent="0.4">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x14ac:dyDescent="0.4">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x14ac:dyDescent="0.4">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x14ac:dyDescent="0.4">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x14ac:dyDescent="0.4">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x14ac:dyDescent="0.4">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x14ac:dyDescent="0.4">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x14ac:dyDescent="0.4">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x14ac:dyDescent="0.4">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x14ac:dyDescent="0.4">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x14ac:dyDescent="0.4">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x14ac:dyDescent="0.4">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x14ac:dyDescent="0.4">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x14ac:dyDescent="0.4">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x14ac:dyDescent="0.4">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x14ac:dyDescent="0.4">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x14ac:dyDescent="0.4">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x14ac:dyDescent="0.4">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x14ac:dyDescent="0.4">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x14ac:dyDescent="0.4">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x14ac:dyDescent="0.4">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x14ac:dyDescent="0.4">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x14ac:dyDescent="0.4">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x14ac:dyDescent="0.4">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x14ac:dyDescent="0.4">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x14ac:dyDescent="0.4">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x14ac:dyDescent="0.4">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x14ac:dyDescent="0.4">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x14ac:dyDescent="0.4">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x14ac:dyDescent="0.4">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x14ac:dyDescent="0.4">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x14ac:dyDescent="0.4">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x14ac:dyDescent="0.4">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x14ac:dyDescent="0.4">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x14ac:dyDescent="0.4">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x14ac:dyDescent="0.4">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x14ac:dyDescent="0.4">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x14ac:dyDescent="0.4">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x14ac:dyDescent="0.4">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x14ac:dyDescent="0.4">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x14ac:dyDescent="0.4">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x14ac:dyDescent="0.4">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x14ac:dyDescent="0.4">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x14ac:dyDescent="0.4">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x14ac:dyDescent="0.4">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x14ac:dyDescent="0.4">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x14ac:dyDescent="0.4">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x14ac:dyDescent="0.4">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x14ac:dyDescent="0.4">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x14ac:dyDescent="0.4">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x14ac:dyDescent="0.4">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x14ac:dyDescent="0.4">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x14ac:dyDescent="0.4">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x14ac:dyDescent="0.4">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x14ac:dyDescent="0.4">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x14ac:dyDescent="0.4">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x14ac:dyDescent="0.4">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x14ac:dyDescent="0.4">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x14ac:dyDescent="0.4">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x14ac:dyDescent="0.4">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x14ac:dyDescent="0.4">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x14ac:dyDescent="0.4">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x14ac:dyDescent="0.4">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x14ac:dyDescent="0.4">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x14ac:dyDescent="0.4">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x14ac:dyDescent="0.4">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x14ac:dyDescent="0.4">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x14ac:dyDescent="0.4">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x14ac:dyDescent="0.4">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x14ac:dyDescent="0.4">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x14ac:dyDescent="0.4">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x14ac:dyDescent="0.4">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x14ac:dyDescent="0.4">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x14ac:dyDescent="0.4">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x14ac:dyDescent="0.4">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x14ac:dyDescent="0.4">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x14ac:dyDescent="0.4">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x14ac:dyDescent="0.4">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x14ac:dyDescent="0.4">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x14ac:dyDescent="0.4">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x14ac:dyDescent="0.4">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x14ac:dyDescent="0.4">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x14ac:dyDescent="0.4">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x14ac:dyDescent="0.4">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x14ac:dyDescent="0.4">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x14ac:dyDescent="0.4">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x14ac:dyDescent="0.4">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x14ac:dyDescent="0.4">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x14ac:dyDescent="0.4">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x14ac:dyDescent="0.4">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x14ac:dyDescent="0.4">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x14ac:dyDescent="0.4">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x14ac:dyDescent="0.4">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x14ac:dyDescent="0.4">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x14ac:dyDescent="0.4">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x14ac:dyDescent="0.4">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x14ac:dyDescent="0.4">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x14ac:dyDescent="0.4">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x14ac:dyDescent="0.4">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x14ac:dyDescent="0.4">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x14ac:dyDescent="0.4">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x14ac:dyDescent="0.4">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x14ac:dyDescent="0.4">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x14ac:dyDescent="0.4">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x14ac:dyDescent="0.4">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x14ac:dyDescent="0.4">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x14ac:dyDescent="0.4">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x14ac:dyDescent="0.4">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x14ac:dyDescent="0.4">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x14ac:dyDescent="0.4">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x14ac:dyDescent="0.4">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x14ac:dyDescent="0.4">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x14ac:dyDescent="0.4">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x14ac:dyDescent="0.4">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x14ac:dyDescent="0.4">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x14ac:dyDescent="0.4">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x14ac:dyDescent="0.4">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x14ac:dyDescent="0.4">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x14ac:dyDescent="0.4">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x14ac:dyDescent="0.4">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x14ac:dyDescent="0.4">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x14ac:dyDescent="0.4">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x14ac:dyDescent="0.4">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x14ac:dyDescent="0.4">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x14ac:dyDescent="0.4">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x14ac:dyDescent="0.4">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x14ac:dyDescent="0.4">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x14ac:dyDescent="0.4">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x14ac:dyDescent="0.4">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x14ac:dyDescent="0.4">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x14ac:dyDescent="0.4">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x14ac:dyDescent="0.4">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x14ac:dyDescent="0.4">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x14ac:dyDescent="0.4">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x14ac:dyDescent="0.4">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x14ac:dyDescent="0.4">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x14ac:dyDescent="0.4">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x14ac:dyDescent="0.4">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x14ac:dyDescent="0.4">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x14ac:dyDescent="0.4">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x14ac:dyDescent="0.4">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x14ac:dyDescent="0.4">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x14ac:dyDescent="0.4">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x14ac:dyDescent="0.4">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x14ac:dyDescent="0.4">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x14ac:dyDescent="0.4">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x14ac:dyDescent="0.4">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x14ac:dyDescent="0.4">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x14ac:dyDescent="0.4">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x14ac:dyDescent="0.4">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x14ac:dyDescent="0.4">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x14ac:dyDescent="0.4">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x14ac:dyDescent="0.4">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x14ac:dyDescent="0.4">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x14ac:dyDescent="0.4">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x14ac:dyDescent="0.4">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x14ac:dyDescent="0.4">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x14ac:dyDescent="0.4">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x14ac:dyDescent="0.4">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x14ac:dyDescent="0.4">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x14ac:dyDescent="0.4">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x14ac:dyDescent="0.4">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x14ac:dyDescent="0.4">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x14ac:dyDescent="0.4">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x14ac:dyDescent="0.4">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x14ac:dyDescent="0.4">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x14ac:dyDescent="0.4">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x14ac:dyDescent="0.4">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x14ac:dyDescent="0.4">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x14ac:dyDescent="0.4">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x14ac:dyDescent="0.4">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x14ac:dyDescent="0.4">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x14ac:dyDescent="0.4">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x14ac:dyDescent="0.4">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x14ac:dyDescent="0.4">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x14ac:dyDescent="0.4">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x14ac:dyDescent="0.4">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x14ac:dyDescent="0.4">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x14ac:dyDescent="0.4">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x14ac:dyDescent="0.4">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x14ac:dyDescent="0.4">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x14ac:dyDescent="0.4">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x14ac:dyDescent="0.4">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x14ac:dyDescent="0.4">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x14ac:dyDescent="0.4">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x14ac:dyDescent="0.4">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x14ac:dyDescent="0.4">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x14ac:dyDescent="0.4">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x14ac:dyDescent="0.4">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x14ac:dyDescent="0.4">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x14ac:dyDescent="0.4">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x14ac:dyDescent="0.4">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x14ac:dyDescent="0.4">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x14ac:dyDescent="0.4">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x14ac:dyDescent="0.4">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x14ac:dyDescent="0.4">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x14ac:dyDescent="0.4">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x14ac:dyDescent="0.4">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x14ac:dyDescent="0.4">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x14ac:dyDescent="0.4">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x14ac:dyDescent="0.4">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x14ac:dyDescent="0.4">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x14ac:dyDescent="0.4">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x14ac:dyDescent="0.4">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x14ac:dyDescent="0.4">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x14ac:dyDescent="0.4">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x14ac:dyDescent="0.4">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x14ac:dyDescent="0.4">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x14ac:dyDescent="0.4">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x14ac:dyDescent="0.4">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x14ac:dyDescent="0.4">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x14ac:dyDescent="0.4">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x14ac:dyDescent="0.4">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x14ac:dyDescent="0.4">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x14ac:dyDescent="0.4">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x14ac:dyDescent="0.4">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x14ac:dyDescent="0.4">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x14ac:dyDescent="0.4">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x14ac:dyDescent="0.4">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x14ac:dyDescent="0.4">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x14ac:dyDescent="0.4">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x14ac:dyDescent="0.4">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x14ac:dyDescent="0.4">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x14ac:dyDescent="0.4">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x14ac:dyDescent="0.4">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x14ac:dyDescent="0.4">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x14ac:dyDescent="0.4">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x14ac:dyDescent="0.4">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x14ac:dyDescent="0.4">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x14ac:dyDescent="0.4">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x14ac:dyDescent="0.4">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x14ac:dyDescent="0.4">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x14ac:dyDescent="0.4">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x14ac:dyDescent="0.4">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x14ac:dyDescent="0.4">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x14ac:dyDescent="0.4">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x14ac:dyDescent="0.4">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x14ac:dyDescent="0.4">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x14ac:dyDescent="0.4">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x14ac:dyDescent="0.4">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x14ac:dyDescent="0.4">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x14ac:dyDescent="0.4">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x14ac:dyDescent="0.4">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x14ac:dyDescent="0.4">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x14ac:dyDescent="0.4">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x14ac:dyDescent="0.4">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x14ac:dyDescent="0.4">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x14ac:dyDescent="0.4">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x14ac:dyDescent="0.4">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x14ac:dyDescent="0.4">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x14ac:dyDescent="0.4">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x14ac:dyDescent="0.4">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x14ac:dyDescent="0.4">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x14ac:dyDescent="0.4">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x14ac:dyDescent="0.4">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x14ac:dyDescent="0.4">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x14ac:dyDescent="0.4">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x14ac:dyDescent="0.4">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x14ac:dyDescent="0.4">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x14ac:dyDescent="0.4">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x14ac:dyDescent="0.4">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x14ac:dyDescent="0.4">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x14ac:dyDescent="0.4">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x14ac:dyDescent="0.4">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x14ac:dyDescent="0.4">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x14ac:dyDescent="0.4">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x14ac:dyDescent="0.4">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x14ac:dyDescent="0.4">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x14ac:dyDescent="0.4">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x14ac:dyDescent="0.4">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x14ac:dyDescent="0.4">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x14ac:dyDescent="0.4">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x14ac:dyDescent="0.4">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x14ac:dyDescent="0.4">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x14ac:dyDescent="0.4">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x14ac:dyDescent="0.4">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x14ac:dyDescent="0.4">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x14ac:dyDescent="0.4">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x14ac:dyDescent="0.4">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x14ac:dyDescent="0.4">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x14ac:dyDescent="0.4">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x14ac:dyDescent="0.4">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x14ac:dyDescent="0.4">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x14ac:dyDescent="0.4">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x14ac:dyDescent="0.4">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x14ac:dyDescent="0.4">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x14ac:dyDescent="0.4">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x14ac:dyDescent="0.4">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x14ac:dyDescent="0.4">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x14ac:dyDescent="0.4">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x14ac:dyDescent="0.4">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x14ac:dyDescent="0.4">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x14ac:dyDescent="0.4">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x14ac:dyDescent="0.4">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x14ac:dyDescent="0.4">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x14ac:dyDescent="0.4">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x14ac:dyDescent="0.4">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x14ac:dyDescent="0.4">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x14ac:dyDescent="0.4">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x14ac:dyDescent="0.4">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x14ac:dyDescent="0.4">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x14ac:dyDescent="0.4">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x14ac:dyDescent="0.4">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x14ac:dyDescent="0.4">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x14ac:dyDescent="0.4">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x14ac:dyDescent="0.4">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x14ac:dyDescent="0.4">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x14ac:dyDescent="0.4">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x14ac:dyDescent="0.4">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x14ac:dyDescent="0.4">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x14ac:dyDescent="0.4">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x14ac:dyDescent="0.4">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x14ac:dyDescent="0.4">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x14ac:dyDescent="0.4">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x14ac:dyDescent="0.4">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x14ac:dyDescent="0.4">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x14ac:dyDescent="0.4">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x14ac:dyDescent="0.4">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x14ac:dyDescent="0.4">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x14ac:dyDescent="0.4">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x14ac:dyDescent="0.4">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x14ac:dyDescent="0.4">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x14ac:dyDescent="0.4">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x14ac:dyDescent="0.4">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x14ac:dyDescent="0.4">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x14ac:dyDescent="0.4">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x14ac:dyDescent="0.4">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x14ac:dyDescent="0.4">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x14ac:dyDescent="0.4">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x14ac:dyDescent="0.4">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x14ac:dyDescent="0.4">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x14ac:dyDescent="0.4">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x14ac:dyDescent="0.4">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x14ac:dyDescent="0.4">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x14ac:dyDescent="0.4">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x14ac:dyDescent="0.4">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x14ac:dyDescent="0.4">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x14ac:dyDescent="0.4">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x14ac:dyDescent="0.4">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x14ac:dyDescent="0.4">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x14ac:dyDescent="0.4">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x14ac:dyDescent="0.4">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x14ac:dyDescent="0.4">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x14ac:dyDescent="0.4">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x14ac:dyDescent="0.4">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x14ac:dyDescent="0.4">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x14ac:dyDescent="0.4">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x14ac:dyDescent="0.4">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x14ac:dyDescent="0.4">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x14ac:dyDescent="0.4">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x14ac:dyDescent="0.4">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x14ac:dyDescent="0.4">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x14ac:dyDescent="0.4">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x14ac:dyDescent="0.4">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x14ac:dyDescent="0.4">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x14ac:dyDescent="0.4">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x14ac:dyDescent="0.4">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x14ac:dyDescent="0.4">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x14ac:dyDescent="0.4">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x14ac:dyDescent="0.4">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x14ac:dyDescent="0.4">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x14ac:dyDescent="0.4">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x14ac:dyDescent="0.4">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x14ac:dyDescent="0.4">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x14ac:dyDescent="0.4">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x14ac:dyDescent="0.4">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x14ac:dyDescent="0.4">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x14ac:dyDescent="0.4">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x14ac:dyDescent="0.4">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x14ac:dyDescent="0.4">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x14ac:dyDescent="0.4">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x14ac:dyDescent="0.4">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x14ac:dyDescent="0.4">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x14ac:dyDescent="0.4">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x14ac:dyDescent="0.4">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x14ac:dyDescent="0.4">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x14ac:dyDescent="0.4">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x14ac:dyDescent="0.4">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x14ac:dyDescent="0.4">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x14ac:dyDescent="0.4">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x14ac:dyDescent="0.4">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x14ac:dyDescent="0.4">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x14ac:dyDescent="0.4">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x14ac:dyDescent="0.4">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x14ac:dyDescent="0.4">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x14ac:dyDescent="0.4">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x14ac:dyDescent="0.4">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x14ac:dyDescent="0.4">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x14ac:dyDescent="0.4">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x14ac:dyDescent="0.4">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x14ac:dyDescent="0.4">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x14ac:dyDescent="0.4">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x14ac:dyDescent="0.4">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x14ac:dyDescent="0.4">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x14ac:dyDescent="0.4">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x14ac:dyDescent="0.4">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x14ac:dyDescent="0.4">
      <c r="C530" s="7" t="s">
        <v>281</v>
      </c>
      <c r="D530" s="6" t="s">
        <v>281</v>
      </c>
      <c r="E530" s="6" t="s">
        <v>281</v>
      </c>
      <c r="F530" s="6" t="s">
        <v>281</v>
      </c>
      <c r="H530" s="6" t="s">
        <v>281</v>
      </c>
      <c r="I530" s="6" t="s">
        <v>281</v>
      </c>
      <c r="J530" s="6" t="s">
        <v>281</v>
      </c>
      <c r="K530" s="6" t="s">
        <v>281</v>
      </c>
      <c r="L530" s="7" t="s">
        <v>281</v>
      </c>
      <c r="M530" s="6" t="s">
        <v>281</v>
      </c>
      <c r="N530" s="6" t="s">
        <v>281</v>
      </c>
      <c r="P530" s="6" t="s">
        <v>281</v>
      </c>
      <c r="Q530" s="6" t="s">
        <v>281</v>
      </c>
      <c r="R530" s="6" t="s">
        <v>281</v>
      </c>
      <c r="S530" s="6" t="s">
        <v>281</v>
      </c>
      <c r="T530" s="6" t="s">
        <v>281</v>
      </c>
      <c r="U530" s="6" t="s">
        <v>281</v>
      </c>
      <c r="V530" s="6" t="s">
        <v>281</v>
      </c>
      <c r="X530" s="6" t="s">
        <v>281</v>
      </c>
      <c r="Y530" s="6" t="s">
        <v>281</v>
      </c>
      <c r="Z530" s="6" t="s">
        <v>281</v>
      </c>
      <c r="AA530" s="6" t="s">
        <v>281</v>
      </c>
      <c r="AB530" s="6" t="s">
        <v>281</v>
      </c>
      <c r="AC530" s="6" t="s">
        <v>281</v>
      </c>
      <c r="AD530" s="6" t="s">
        <v>281</v>
      </c>
      <c r="AF530" s="6" t="s">
        <v>281</v>
      </c>
      <c r="AG530" s="6" t="s">
        <v>281</v>
      </c>
      <c r="AH530" s="6" t="s">
        <v>281</v>
      </c>
      <c r="AI530" s="6" t="s">
        <v>281</v>
      </c>
      <c r="AJ530" s="6" t="s">
        <v>281</v>
      </c>
      <c r="AK530" s="6" t="s">
        <v>281</v>
      </c>
      <c r="AL530" s="6" t="s">
        <v>281</v>
      </c>
      <c r="AN530" s="6" t="s">
        <v>281</v>
      </c>
      <c r="AO530" s="6" t="s">
        <v>281</v>
      </c>
      <c r="AP530" s="6" t="s">
        <v>281</v>
      </c>
      <c r="AQ530" s="6" t="s">
        <v>281</v>
      </c>
      <c r="AR530" s="6" t="s">
        <v>281</v>
      </c>
      <c r="AS530" s="6" t="s">
        <v>281</v>
      </c>
      <c r="AT530" s="6" t="s">
        <v>281</v>
      </c>
      <c r="AU530" s="8" t="s">
        <v>281</v>
      </c>
      <c r="AV530" s="6" t="s">
        <v>282</v>
      </c>
      <c r="AW530" s="6" t="s">
        <v>281</v>
      </c>
      <c r="AX530" s="6" t="s">
        <v>281</v>
      </c>
      <c r="BE530" s="6" t="s">
        <v>281</v>
      </c>
      <c r="BF530" s="6" t="s">
        <v>281</v>
      </c>
      <c r="BG530" s="6" t="s">
        <v>281</v>
      </c>
      <c r="BH530" s="6" t="s">
        <v>281</v>
      </c>
      <c r="BI530" s="6" t="s">
        <v>281</v>
      </c>
      <c r="BJ530" s="6" t="s">
        <v>281</v>
      </c>
      <c r="BK530" s="6" t="s">
        <v>281</v>
      </c>
      <c r="BL530" s="6" t="s">
        <v>281</v>
      </c>
      <c r="BM530" s="6" t="s">
        <v>281</v>
      </c>
      <c r="BN530" s="6" t="s">
        <v>281</v>
      </c>
      <c r="BO530" s="6" t="s">
        <v>281</v>
      </c>
      <c r="BP530" s="6" t="s">
        <v>281</v>
      </c>
      <c r="BQ530" s="6" t="s">
        <v>281</v>
      </c>
      <c r="BR530" s="6" t="s">
        <v>281</v>
      </c>
      <c r="BS530" s="6" t="s">
        <v>281</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x14ac:dyDescent="0.4"/>
  <cols>
    <col min="1" max="1" width="150.375" style="18" bestFit="1" customWidth="1"/>
    <col min="2" max="16384" width="9" style="18"/>
  </cols>
  <sheetData>
    <row r="1" spans="1:1" x14ac:dyDescent="0.4">
      <c r="A1" s="15" t="s">
        <v>291</v>
      </c>
    </row>
    <row r="2" spans="1:1" x14ac:dyDescent="0.4">
      <c r="A2" s="15" t="s">
        <v>292</v>
      </c>
    </row>
    <row r="3" spans="1:1" x14ac:dyDescent="0.4">
      <c r="A3" s="15" t="s">
        <v>293</v>
      </c>
    </row>
    <row r="4" spans="1:1" x14ac:dyDescent="0.4">
      <c r="A4" s="15" t="s">
        <v>292</v>
      </c>
    </row>
    <row r="5" spans="1:1" x14ac:dyDescent="0.4">
      <c r="A5" s="15" t="s">
        <v>294</v>
      </c>
    </row>
    <row r="6" spans="1:1" x14ac:dyDescent="0.4">
      <c r="A6" s="15" t="s">
        <v>295</v>
      </c>
    </row>
    <row r="7" spans="1:1" x14ac:dyDescent="0.4">
      <c r="A7" s="15" t="s">
        <v>292</v>
      </c>
    </row>
    <row r="8" spans="1:1" x14ac:dyDescent="0.4">
      <c r="A8" s="19"/>
    </row>
    <row r="9" spans="1:1" x14ac:dyDescent="0.4">
      <c r="A9" s="15" t="s">
        <v>296</v>
      </c>
    </row>
    <row r="10" spans="1:1" x14ac:dyDescent="0.4">
      <c r="A10" s="15" t="s">
        <v>297</v>
      </c>
    </row>
    <row r="11" spans="1:1" x14ac:dyDescent="0.4">
      <c r="A11" s="15" t="s">
        <v>296</v>
      </c>
    </row>
    <row r="12" spans="1:1" x14ac:dyDescent="0.4">
      <c r="A12" s="15" t="s">
        <v>298</v>
      </c>
    </row>
    <row r="13" spans="1:1" x14ac:dyDescent="0.4">
      <c r="A13" s="15" t="s">
        <v>299</v>
      </c>
    </row>
    <row r="14" spans="1:1" x14ac:dyDescent="0.4">
      <c r="A14" s="15" t="s">
        <v>300</v>
      </c>
    </row>
    <row r="15" spans="1:1" x14ac:dyDescent="0.4">
      <c r="A15" s="19"/>
    </row>
    <row r="16" spans="1:1" x14ac:dyDescent="0.4">
      <c r="A16" s="15" t="s">
        <v>296</v>
      </c>
    </row>
    <row r="17" spans="1:1" x14ac:dyDescent="0.4">
      <c r="A17" s="15" t="s">
        <v>301</v>
      </c>
    </row>
    <row r="18" spans="1:1" x14ac:dyDescent="0.4">
      <c r="A18" s="15" t="s">
        <v>296</v>
      </c>
    </row>
    <row r="19" spans="1:1" x14ac:dyDescent="0.4">
      <c r="A19" s="15" t="s">
        <v>302</v>
      </c>
    </row>
    <row r="20" spans="1:1" x14ac:dyDescent="0.4">
      <c r="A20" s="20" t="s">
        <v>303</v>
      </c>
    </row>
    <row r="21" spans="1:1" x14ac:dyDescent="0.4">
      <c r="A21" s="19"/>
    </row>
    <row r="22" spans="1:1" x14ac:dyDescent="0.4">
      <c r="A22" s="15" t="s">
        <v>296</v>
      </c>
    </row>
    <row r="23" spans="1:1" x14ac:dyDescent="0.4">
      <c r="A23" s="15" t="s">
        <v>304</v>
      </c>
    </row>
    <row r="24" spans="1:1" x14ac:dyDescent="0.4">
      <c r="A24" s="15" t="s">
        <v>296</v>
      </c>
    </row>
    <row r="25" spans="1:1" x14ac:dyDescent="0.4">
      <c r="A25" s="15" t="s">
        <v>305</v>
      </c>
    </row>
    <row r="26" spans="1:1" x14ac:dyDescent="0.4">
      <c r="A26" s="15" t="s">
        <v>306</v>
      </c>
    </row>
    <row r="27" spans="1:1" x14ac:dyDescent="0.4">
      <c r="A27" s="15" t="s">
        <v>307</v>
      </c>
    </row>
    <row r="28" spans="1:1" x14ac:dyDescent="0.4">
      <c r="A28" s="15" t="s">
        <v>308</v>
      </c>
    </row>
    <row r="29" spans="1:1" x14ac:dyDescent="0.4">
      <c r="A29" s="15" t="s">
        <v>309</v>
      </c>
    </row>
    <row r="30" spans="1:1" x14ac:dyDescent="0.4">
      <c r="A30" s="19"/>
    </row>
    <row r="31" spans="1:1" x14ac:dyDescent="0.4">
      <c r="A31" s="15" t="s">
        <v>310</v>
      </c>
    </row>
    <row r="32" spans="1:1" x14ac:dyDescent="0.4">
      <c r="A32" s="15" t="s">
        <v>311</v>
      </c>
    </row>
    <row r="33" spans="1:1" x14ac:dyDescent="0.4">
      <c r="A33" s="15" t="s">
        <v>312</v>
      </c>
    </row>
    <row r="34" spans="1:1" x14ac:dyDescent="0.4">
      <c r="A34" s="15" t="s">
        <v>313</v>
      </c>
    </row>
    <row r="35" spans="1:1" x14ac:dyDescent="0.4">
      <c r="A35" s="15" t="s">
        <v>309</v>
      </c>
    </row>
    <row r="36" spans="1:1" x14ac:dyDescent="0.4">
      <c r="A36" s="19"/>
    </row>
    <row r="37" spans="1:1" x14ac:dyDescent="0.4">
      <c r="A37" s="15" t="s">
        <v>296</v>
      </c>
    </row>
    <row r="38" spans="1:1" x14ac:dyDescent="0.4">
      <c r="A38" s="15" t="s">
        <v>314</v>
      </c>
    </row>
    <row r="39" spans="1:1" x14ac:dyDescent="0.4">
      <c r="A39" s="15" t="s">
        <v>296</v>
      </c>
    </row>
    <row r="40" spans="1:1" x14ac:dyDescent="0.4">
      <c r="A40" s="20" t="s">
        <v>315</v>
      </c>
    </row>
    <row r="41" spans="1:1" x14ac:dyDescent="0.4">
      <c r="A41" s="20" t="s">
        <v>316</v>
      </c>
    </row>
    <row r="42" spans="1:1" x14ac:dyDescent="0.4">
      <c r="A42" s="16" t="s">
        <v>237</v>
      </c>
    </row>
    <row r="43" spans="1:1" x14ac:dyDescent="0.4">
      <c r="A43" s="17" t="s">
        <v>231</v>
      </c>
    </row>
    <row r="44" spans="1:1" x14ac:dyDescent="0.4">
      <c r="A44" s="19"/>
    </row>
    <row r="45" spans="1:1" x14ac:dyDescent="0.4">
      <c r="A45" s="15" t="s">
        <v>296</v>
      </c>
    </row>
    <row r="46" spans="1:1" x14ac:dyDescent="0.4">
      <c r="A46" s="20" t="s">
        <v>317</v>
      </c>
    </row>
    <row r="47" spans="1:1" x14ac:dyDescent="0.4">
      <c r="A47" s="17" t="s">
        <v>318</v>
      </c>
    </row>
    <row r="48" spans="1:1" x14ac:dyDescent="0.4">
      <c r="A48" s="19"/>
    </row>
    <row r="49" spans="1:1" x14ac:dyDescent="0.4">
      <c r="A49" s="20" t="s">
        <v>319</v>
      </c>
    </row>
    <row r="50" spans="1:1" x14ac:dyDescent="0.4">
      <c r="A50" s="19"/>
    </row>
    <row r="51" spans="1:1" x14ac:dyDescent="0.4">
      <c r="A51" s="15" t="s">
        <v>296</v>
      </c>
    </row>
    <row r="52" spans="1:1" x14ac:dyDescent="0.4">
      <c r="A52" s="15" t="s">
        <v>320</v>
      </c>
    </row>
    <row r="53" spans="1:1" x14ac:dyDescent="0.4">
      <c r="A53" s="15" t="s">
        <v>296</v>
      </c>
    </row>
    <row r="54" spans="1:1" x14ac:dyDescent="0.4">
      <c r="A54" s="15" t="s">
        <v>296</v>
      </c>
    </row>
    <row r="55" spans="1:1" x14ac:dyDescent="0.4">
      <c r="A55" s="15" t="s">
        <v>321</v>
      </c>
    </row>
    <row r="56" spans="1:1" x14ac:dyDescent="0.4">
      <c r="A56" s="15" t="s">
        <v>296</v>
      </c>
    </row>
    <row r="57" spans="1:1" x14ac:dyDescent="0.4">
      <c r="A57" s="15" t="s">
        <v>296</v>
      </c>
    </row>
    <row r="58" spans="1:1" x14ac:dyDescent="0.4">
      <c r="A58" s="15" t="s">
        <v>322</v>
      </c>
    </row>
    <row r="59" spans="1:1" x14ac:dyDescent="0.4">
      <c r="A59" s="15" t="s">
        <v>296</v>
      </c>
    </row>
    <row r="60" spans="1:1" x14ac:dyDescent="0.4">
      <c r="A60" s="15" t="s">
        <v>323</v>
      </c>
    </row>
    <row r="61" spans="1:1" x14ac:dyDescent="0.4">
      <c r="A61" s="15"/>
    </row>
    <row r="62" spans="1:1" x14ac:dyDescent="0.4">
      <c r="A62" s="15" t="s">
        <v>324</v>
      </c>
    </row>
    <row r="63" spans="1:1" x14ac:dyDescent="0.4">
      <c r="A63" s="19"/>
    </row>
    <row r="64" spans="1:1" x14ac:dyDescent="0.4">
      <c r="A64" s="15" t="s">
        <v>325</v>
      </c>
    </row>
    <row r="65" spans="1:1" x14ac:dyDescent="0.4">
      <c r="A65" s="15" t="s">
        <v>326</v>
      </c>
    </row>
    <row r="66" spans="1:1" x14ac:dyDescent="0.4">
      <c r="A66" s="15" t="s">
        <v>327</v>
      </c>
    </row>
    <row r="67" spans="1:1" x14ac:dyDescent="0.4">
      <c r="A67" s="15" t="s">
        <v>328</v>
      </c>
    </row>
    <row r="68" spans="1:1" x14ac:dyDescent="0.4">
      <c r="A68" s="15" t="s">
        <v>309</v>
      </c>
    </row>
    <row r="69" spans="1:1" x14ac:dyDescent="0.4">
      <c r="A69" s="19"/>
    </row>
    <row r="70" spans="1:1" x14ac:dyDescent="0.4">
      <c r="A70" s="19" t="s">
        <v>329</v>
      </c>
    </row>
    <row r="71" spans="1:1" x14ac:dyDescent="0.4">
      <c r="A71" s="19"/>
    </row>
    <row r="72" spans="1:1" x14ac:dyDescent="0.4">
      <c r="A72" s="15" t="s">
        <v>296</v>
      </c>
    </row>
    <row r="73" spans="1:1" x14ac:dyDescent="0.4">
      <c r="A73" s="15" t="s">
        <v>330</v>
      </c>
    </row>
    <row r="74" spans="1:1" x14ac:dyDescent="0.4">
      <c r="A74" s="15" t="s">
        <v>296</v>
      </c>
    </row>
    <row r="75" spans="1:1" x14ac:dyDescent="0.4">
      <c r="A75" s="15" t="s">
        <v>296</v>
      </c>
    </row>
    <row r="76" spans="1:1" x14ac:dyDescent="0.4">
      <c r="A76" s="15" t="s">
        <v>331</v>
      </c>
    </row>
    <row r="77" spans="1:1" x14ac:dyDescent="0.4">
      <c r="A77" s="15" t="s">
        <v>296</v>
      </c>
    </row>
    <row r="78" spans="1:1" x14ac:dyDescent="0.4">
      <c r="A78" s="15" t="s">
        <v>332</v>
      </c>
    </row>
    <row r="79" spans="1:1" x14ac:dyDescent="0.4">
      <c r="A79" s="15"/>
    </row>
    <row r="80" spans="1:1" x14ac:dyDescent="0.4">
      <c r="A80" s="15" t="s">
        <v>333</v>
      </c>
    </row>
    <row r="81" spans="1:1" x14ac:dyDescent="0.4">
      <c r="A81" s="19"/>
    </row>
    <row r="82" spans="1:1" x14ac:dyDescent="0.4">
      <c r="A82" s="15" t="s">
        <v>296</v>
      </c>
    </row>
    <row r="83" spans="1:1" x14ac:dyDescent="0.4">
      <c r="A83" s="15" t="s">
        <v>334</v>
      </c>
    </row>
    <row r="84" spans="1:1" x14ac:dyDescent="0.4">
      <c r="A84" s="15" t="s">
        <v>335</v>
      </c>
    </row>
    <row r="85" spans="1:1" x14ac:dyDescent="0.4">
      <c r="A85" s="15" t="s">
        <v>336</v>
      </c>
    </row>
    <row r="86" spans="1:1" x14ac:dyDescent="0.4">
      <c r="A86" s="17" t="s">
        <v>232</v>
      </c>
    </row>
    <row r="87" spans="1:1" x14ac:dyDescent="0.4">
      <c r="A87" s="17" t="s">
        <v>233</v>
      </c>
    </row>
    <row r="88" spans="1:1" x14ac:dyDescent="0.4">
      <c r="A88" s="17" t="s">
        <v>234</v>
      </c>
    </row>
    <row r="89" spans="1:1" x14ac:dyDescent="0.4">
      <c r="A89" s="17" t="s">
        <v>235</v>
      </c>
    </row>
    <row r="90" spans="1:1" x14ac:dyDescent="0.4">
      <c r="A90" s="17" t="s">
        <v>236</v>
      </c>
    </row>
    <row r="91" spans="1:1" x14ac:dyDescent="0.4">
      <c r="A91" s="15" t="s">
        <v>337</v>
      </c>
    </row>
    <row r="92" spans="1:1" x14ac:dyDescent="0.4">
      <c r="A92" s="15" t="s">
        <v>338</v>
      </c>
    </row>
    <row r="93" spans="1:1" x14ac:dyDescent="0.4">
      <c r="A93" s="19"/>
    </row>
    <row r="94" spans="1:1" x14ac:dyDescent="0.4">
      <c r="A94" s="15" t="s">
        <v>296</v>
      </c>
    </row>
    <row r="95" spans="1:1" x14ac:dyDescent="0.4">
      <c r="A95" s="15" t="s">
        <v>339</v>
      </c>
    </row>
    <row r="96" spans="1:1" x14ac:dyDescent="0.4">
      <c r="A96" s="17" t="s">
        <v>239</v>
      </c>
    </row>
    <row r="97" spans="1:1" x14ac:dyDescent="0.4">
      <c r="A97" s="17" t="s">
        <v>240</v>
      </c>
    </row>
    <row r="98" spans="1:1" x14ac:dyDescent="0.4">
      <c r="A98" s="15" t="s">
        <v>340</v>
      </c>
    </row>
    <row r="99" spans="1:1" x14ac:dyDescent="0.4">
      <c r="A99" s="19"/>
    </row>
    <row r="100" spans="1:1" x14ac:dyDescent="0.4">
      <c r="A100" s="15" t="s">
        <v>296</v>
      </c>
    </row>
    <row r="101" spans="1:1" x14ac:dyDescent="0.4">
      <c r="A101" s="20" t="s">
        <v>341</v>
      </c>
    </row>
    <row r="102" spans="1:1" x14ac:dyDescent="0.4">
      <c r="A102" s="20" t="s">
        <v>342</v>
      </c>
    </row>
    <row r="103" spans="1:1" x14ac:dyDescent="0.4">
      <c r="A103" s="15" t="s">
        <v>343</v>
      </c>
    </row>
    <row r="104" spans="1:1" x14ac:dyDescent="0.4">
      <c r="A104" s="19"/>
    </row>
    <row r="105" spans="1:1" x14ac:dyDescent="0.4">
      <c r="A105" s="19" t="s">
        <v>344</v>
      </c>
    </row>
    <row r="106" spans="1:1" x14ac:dyDescent="0.4">
      <c r="A106" s="19"/>
    </row>
    <row r="107" spans="1:1" x14ac:dyDescent="0.4">
      <c r="A107" s="15" t="s">
        <v>296</v>
      </c>
    </row>
    <row r="108" spans="1:1" x14ac:dyDescent="0.4">
      <c r="A108" s="15" t="s">
        <v>345</v>
      </c>
    </row>
    <row r="109" spans="1:1" x14ac:dyDescent="0.4">
      <c r="A109" s="15" t="s">
        <v>296</v>
      </c>
    </row>
    <row r="110" spans="1:1" x14ac:dyDescent="0.4">
      <c r="A110" s="15" t="s">
        <v>292</v>
      </c>
    </row>
    <row r="111" spans="1:1" x14ac:dyDescent="0.4">
      <c r="A111" s="15" t="s">
        <v>346</v>
      </c>
    </row>
    <row r="112" spans="1:1" x14ac:dyDescent="0.4">
      <c r="A112" s="15" t="s">
        <v>347</v>
      </c>
    </row>
    <row r="113" spans="1:1" x14ac:dyDescent="0.4">
      <c r="A113" s="15" t="s">
        <v>346</v>
      </c>
    </row>
    <row r="114" spans="1:1" x14ac:dyDescent="0.4">
      <c r="A114" s="15" t="s">
        <v>292</v>
      </c>
    </row>
    <row r="115" spans="1:1" x14ac:dyDescent="0.4">
      <c r="A115" s="15" t="s">
        <v>346</v>
      </c>
    </row>
    <row r="116" spans="1:1" x14ac:dyDescent="0.4">
      <c r="A116" s="15" t="s">
        <v>348</v>
      </c>
    </row>
    <row r="117" spans="1:1" x14ac:dyDescent="0.4">
      <c r="A117" s="15" t="s">
        <v>349</v>
      </c>
    </row>
    <row r="118" spans="1:1" x14ac:dyDescent="0.4">
      <c r="A118" s="15" t="s">
        <v>350</v>
      </c>
    </row>
    <row r="119" spans="1:1" x14ac:dyDescent="0.4">
      <c r="A119" s="15" t="s">
        <v>346</v>
      </c>
    </row>
    <row r="120" spans="1:1" x14ac:dyDescent="0.4">
      <c r="A120" s="15" t="s">
        <v>351</v>
      </c>
    </row>
    <row r="121" spans="1:1" x14ac:dyDescent="0.4">
      <c r="A121" s="15" t="s">
        <v>349</v>
      </c>
    </row>
    <row r="122" spans="1:1" x14ac:dyDescent="0.4">
      <c r="A122" s="15" t="s">
        <v>346</v>
      </c>
    </row>
    <row r="123" spans="1:1" x14ac:dyDescent="0.4">
      <c r="A123" s="15" t="s">
        <v>346</v>
      </c>
    </row>
    <row r="124" spans="1:1" x14ac:dyDescent="0.4">
      <c r="A124" s="15" t="s">
        <v>352</v>
      </c>
    </row>
    <row r="125" spans="1:1" x14ac:dyDescent="0.4">
      <c r="A125" s="15" t="s">
        <v>346</v>
      </c>
    </row>
    <row r="126" spans="1:1" x14ac:dyDescent="0.4">
      <c r="A126" s="15" t="s">
        <v>292</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x14ac:dyDescent="0.4"/>
  <cols>
    <col min="1" max="1" width="150.375" style="15" bestFit="1" customWidth="1"/>
    <col min="2" max="16384" width="9" style="18"/>
  </cols>
  <sheetData>
    <row r="1" spans="1:1" x14ac:dyDescent="0.4">
      <c r="A1" s="15" t="s">
        <v>291</v>
      </c>
    </row>
    <row r="2" spans="1:1" x14ac:dyDescent="0.4">
      <c r="A2" s="15" t="s">
        <v>292</v>
      </c>
    </row>
    <row r="3" spans="1:1" x14ac:dyDescent="0.4">
      <c r="A3" s="15" t="s">
        <v>353</v>
      </c>
    </row>
    <row r="4" spans="1:1" x14ac:dyDescent="0.4">
      <c r="A4" s="15" t="s">
        <v>292</v>
      </c>
    </row>
    <row r="5" spans="1:1" x14ac:dyDescent="0.4">
      <c r="A5" s="15" t="s">
        <v>354</v>
      </c>
    </row>
    <row r="6" spans="1:1" x14ac:dyDescent="0.4">
      <c r="A6" s="15" t="s">
        <v>355</v>
      </c>
    </row>
    <row r="7" spans="1:1" x14ac:dyDescent="0.4">
      <c r="A7" s="15" t="s">
        <v>355</v>
      </c>
    </row>
    <row r="8" spans="1:1" x14ac:dyDescent="0.4">
      <c r="A8" s="15" t="s">
        <v>356</v>
      </c>
    </row>
    <row r="9" spans="1:1" x14ac:dyDescent="0.4">
      <c r="A9" s="15" t="s">
        <v>357</v>
      </c>
    </row>
    <row r="10" spans="1:1" x14ac:dyDescent="0.4">
      <c r="A10" s="15" t="s">
        <v>358</v>
      </c>
    </row>
    <row r="11" spans="1:1" x14ac:dyDescent="0.4">
      <c r="A11" s="15" t="s">
        <v>355</v>
      </c>
    </row>
    <row r="12" spans="1:1" x14ac:dyDescent="0.4">
      <c r="A12" s="15" t="s">
        <v>292</v>
      </c>
    </row>
    <row r="14" spans="1:1" x14ac:dyDescent="0.4">
      <c r="A14" s="15" t="s">
        <v>359</v>
      </c>
    </row>
    <row r="15" spans="1:1" x14ac:dyDescent="0.4">
      <c r="A15" s="15" t="s">
        <v>360</v>
      </c>
    </row>
    <row r="17" spans="1:1" x14ac:dyDescent="0.4">
      <c r="A17" s="15" t="s">
        <v>296</v>
      </c>
    </row>
    <row r="18" spans="1:1" x14ac:dyDescent="0.4">
      <c r="A18" s="15" t="s">
        <v>361</v>
      </c>
    </row>
    <row r="19" spans="1:1" x14ac:dyDescent="0.4">
      <c r="A19" s="15" t="s">
        <v>296</v>
      </c>
    </row>
    <row r="20" spans="1:1" x14ac:dyDescent="0.4">
      <c r="A20" s="15" t="s">
        <v>362</v>
      </c>
    </row>
    <row r="21" spans="1:1" x14ac:dyDescent="0.4">
      <c r="A21" s="15" t="s">
        <v>363</v>
      </c>
    </row>
    <row r="22" spans="1:1" x14ac:dyDescent="0.4">
      <c r="A22" s="15" t="s">
        <v>364</v>
      </c>
    </row>
    <row r="24" spans="1:1" x14ac:dyDescent="0.4">
      <c r="A24" s="15" t="s">
        <v>296</v>
      </c>
    </row>
    <row r="25" spans="1:1" x14ac:dyDescent="0.4">
      <c r="A25" s="15" t="s">
        <v>365</v>
      </c>
    </row>
    <row r="26" spans="1:1" x14ac:dyDescent="0.4">
      <c r="A26" s="15" t="s">
        <v>296</v>
      </c>
    </row>
    <row r="27" spans="1:1" x14ac:dyDescent="0.4">
      <c r="A27" s="20" t="s">
        <v>366</v>
      </c>
    </row>
    <row r="29" spans="1:1" x14ac:dyDescent="0.4">
      <c r="A29" s="15" t="s">
        <v>367</v>
      </c>
    </row>
    <row r="30" spans="1:1" x14ac:dyDescent="0.4">
      <c r="A30" s="15" t="s">
        <v>368</v>
      </c>
    </row>
    <row r="31" spans="1:1" x14ac:dyDescent="0.4">
      <c r="A31" s="15" t="s">
        <v>367</v>
      </c>
    </row>
    <row r="32" spans="1:1" x14ac:dyDescent="0.4">
      <c r="A32" s="17" t="s">
        <v>226</v>
      </c>
    </row>
    <row r="34" spans="1:1" x14ac:dyDescent="0.4">
      <c r="A34" s="15" t="s">
        <v>296</v>
      </c>
    </row>
    <row r="35" spans="1:1" x14ac:dyDescent="0.4">
      <c r="A35" s="20" t="s">
        <v>369</v>
      </c>
    </row>
    <row r="37" spans="1:1" x14ac:dyDescent="0.4">
      <c r="A37" s="17" t="s">
        <v>227</v>
      </c>
    </row>
    <row r="38" spans="1:1" x14ac:dyDescent="0.4">
      <c r="A38" s="17" t="s">
        <v>228</v>
      </c>
    </row>
    <row r="39" spans="1:1" x14ac:dyDescent="0.4">
      <c r="A39" s="17" t="s">
        <v>229</v>
      </c>
    </row>
    <row r="40" spans="1:1" x14ac:dyDescent="0.4">
      <c r="A40" s="17" t="s">
        <v>230</v>
      </c>
    </row>
    <row r="42" spans="1:1" x14ac:dyDescent="0.4">
      <c r="A42" s="15" t="s">
        <v>296</v>
      </c>
    </row>
    <row r="43" spans="1:1" x14ac:dyDescent="0.4">
      <c r="A43" s="15" t="s">
        <v>370</v>
      </c>
    </row>
    <row r="45" spans="1:1" x14ac:dyDescent="0.4">
      <c r="A45" s="15" t="s">
        <v>296</v>
      </c>
    </row>
    <row r="46" spans="1:1" x14ac:dyDescent="0.4">
      <c r="A46" s="15" t="s">
        <v>371</v>
      </c>
    </row>
    <row r="47" spans="1:1" x14ac:dyDescent="0.4">
      <c r="A47" s="15" t="s">
        <v>296</v>
      </c>
    </row>
    <row r="48" spans="1:1" x14ac:dyDescent="0.4">
      <c r="A48" s="15" t="s">
        <v>296</v>
      </c>
    </row>
    <row r="49" spans="1:1" x14ac:dyDescent="0.4">
      <c r="A49" s="15" t="s">
        <v>372</v>
      </c>
    </row>
    <row r="50" spans="1:1" x14ac:dyDescent="0.4">
      <c r="A50" s="15" t="s">
        <v>296</v>
      </c>
    </row>
    <row r="51" spans="1:1" x14ac:dyDescent="0.4">
      <c r="A51" s="15" t="s">
        <v>296</v>
      </c>
    </row>
    <row r="52" spans="1:1" x14ac:dyDescent="0.4">
      <c r="A52" s="15" t="s">
        <v>373</v>
      </c>
    </row>
    <row r="53" spans="1:1" x14ac:dyDescent="0.4">
      <c r="A53" s="15" t="s">
        <v>296</v>
      </c>
    </row>
    <row r="54" spans="1:1" x14ac:dyDescent="0.4">
      <c r="A54" s="15" t="s">
        <v>296</v>
      </c>
    </row>
    <row r="55" spans="1:1" x14ac:dyDescent="0.4">
      <c r="A55" s="15" t="s">
        <v>374</v>
      </c>
    </row>
    <row r="56" spans="1:1" x14ac:dyDescent="0.4">
      <c r="A56" s="15" t="s">
        <v>296</v>
      </c>
    </row>
    <row r="58" spans="1:1" x14ac:dyDescent="0.4">
      <c r="A58" s="15" t="s">
        <v>375</v>
      </c>
    </row>
    <row r="60" spans="1:1" x14ac:dyDescent="0.4">
      <c r="A60" s="15" t="s">
        <v>292</v>
      </c>
    </row>
    <row r="61" spans="1:1" x14ac:dyDescent="0.4">
      <c r="A61" s="15" t="s">
        <v>355</v>
      </c>
    </row>
    <row r="62" spans="1:1" x14ac:dyDescent="0.4">
      <c r="A62" s="15" t="s">
        <v>376</v>
      </c>
    </row>
    <row r="63" spans="1:1" x14ac:dyDescent="0.4">
      <c r="A63" s="15" t="s">
        <v>355</v>
      </c>
    </row>
    <row r="64" spans="1:1" x14ac:dyDescent="0.4">
      <c r="A64" s="15" t="s">
        <v>292</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x14ac:dyDescent="0.4"/>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x14ac:dyDescent="0.4"/>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x14ac:dyDescent="0.4"/>
  <cols>
    <col min="1" max="1" width="29.5" customWidth="1"/>
    <col min="2" max="2" width="136" customWidth="1"/>
  </cols>
  <sheetData>
    <row r="1" spans="1:3" x14ac:dyDescent="0.4">
      <c r="A1" s="6" t="s">
        <v>377</v>
      </c>
    </row>
    <row r="2" spans="1:3" x14ac:dyDescent="0.4">
      <c r="A2" s="45" t="s">
        <v>378</v>
      </c>
    </row>
    <row r="3" spans="1:3" x14ac:dyDescent="0.4">
      <c r="A3" s="34" t="s">
        <v>379</v>
      </c>
      <c r="B3" s="34" t="s">
        <v>380</v>
      </c>
    </row>
    <row r="4" spans="1:3" x14ac:dyDescent="0.4">
      <c r="A4" s="102" t="s">
        <v>381</v>
      </c>
      <c r="B4" s="36" t="s">
        <v>382</v>
      </c>
    </row>
    <row r="5" spans="1:3" x14ac:dyDescent="0.4">
      <c r="A5" s="102"/>
      <c r="B5" s="37" t="s">
        <v>383</v>
      </c>
    </row>
    <row r="6" spans="1:3" x14ac:dyDescent="0.4">
      <c r="A6" s="102" t="s">
        <v>384</v>
      </c>
      <c r="B6" s="38" t="s">
        <v>385</v>
      </c>
    </row>
    <row r="7" spans="1:3" x14ac:dyDescent="0.4">
      <c r="A7" s="102"/>
      <c r="B7" s="39" t="s">
        <v>386</v>
      </c>
    </row>
    <row r="8" spans="1:3" x14ac:dyDescent="0.4">
      <c r="A8" s="102"/>
      <c r="B8" s="40" t="s">
        <v>387</v>
      </c>
    </row>
    <row r="9" spans="1:3" x14ac:dyDescent="0.4">
      <c r="A9" s="102" t="s">
        <v>388</v>
      </c>
      <c r="B9" s="41" t="s">
        <v>389</v>
      </c>
    </row>
    <row r="10" spans="1:3" x14ac:dyDescent="0.4">
      <c r="A10" s="102"/>
      <c r="B10" s="37" t="s">
        <v>390</v>
      </c>
    </row>
    <row r="11" spans="1:3" x14ac:dyDescent="0.4">
      <c r="A11" s="102" t="s">
        <v>391</v>
      </c>
      <c r="B11" s="36" t="s">
        <v>392</v>
      </c>
    </row>
    <row r="12" spans="1:3" x14ac:dyDescent="0.4">
      <c r="A12" s="102"/>
      <c r="B12" s="37" t="s">
        <v>393</v>
      </c>
    </row>
    <row r="13" spans="1:3" x14ac:dyDescent="0.4">
      <c r="A13" s="102" t="s">
        <v>394</v>
      </c>
      <c r="B13" s="36" t="s">
        <v>395</v>
      </c>
    </row>
    <row r="14" spans="1:3" x14ac:dyDescent="0.4">
      <c r="A14" s="102"/>
      <c r="B14" s="37" t="s">
        <v>396</v>
      </c>
      <c r="C14" s="6"/>
    </row>
    <row r="15" spans="1:3" x14ac:dyDescent="0.4">
      <c r="A15" s="102" t="s">
        <v>397</v>
      </c>
      <c r="B15" s="36" t="s">
        <v>398</v>
      </c>
    </row>
    <row r="16" spans="1:3" x14ac:dyDescent="0.4">
      <c r="A16" s="102"/>
      <c r="B16" s="42" t="s">
        <v>399</v>
      </c>
    </row>
    <row r="17" spans="1:2" x14ac:dyDescent="0.4">
      <c r="A17" s="102"/>
      <c r="B17" s="37" t="s">
        <v>400</v>
      </c>
    </row>
    <row r="18" spans="1:2" x14ac:dyDescent="0.4">
      <c r="A18" s="102" t="s">
        <v>401</v>
      </c>
      <c r="B18" s="36" t="s">
        <v>402</v>
      </c>
    </row>
    <row r="19" spans="1:2" x14ac:dyDescent="0.4">
      <c r="A19" s="102"/>
      <c r="B19" s="42" t="s">
        <v>403</v>
      </c>
    </row>
    <row r="20" spans="1:2" x14ac:dyDescent="0.4">
      <c r="A20" s="102"/>
      <c r="B20" s="37" t="s">
        <v>404</v>
      </c>
    </row>
    <row r="21" spans="1:2" x14ac:dyDescent="0.4">
      <c r="A21" s="35" t="s">
        <v>405</v>
      </c>
      <c r="B21" s="35" t="s">
        <v>406</v>
      </c>
    </row>
    <row r="22" spans="1:2" x14ac:dyDescent="0.4">
      <c r="A22" s="102" t="s">
        <v>407</v>
      </c>
      <c r="B22" s="36" t="s">
        <v>408</v>
      </c>
    </row>
    <row r="23" spans="1:2" x14ac:dyDescent="0.4">
      <c r="A23" s="102"/>
      <c r="B23" s="42" t="s">
        <v>409</v>
      </c>
    </row>
    <row r="24" spans="1:2" x14ac:dyDescent="0.4">
      <c r="A24" s="102"/>
      <c r="B24" s="37" t="s">
        <v>410</v>
      </c>
    </row>
    <row r="25" spans="1:2" x14ac:dyDescent="0.4">
      <c r="A25" s="102" t="s">
        <v>411</v>
      </c>
      <c r="B25" s="36" t="s">
        <v>412</v>
      </c>
    </row>
    <row r="26" spans="1:2" x14ac:dyDescent="0.4">
      <c r="A26" s="102"/>
      <c r="B26" s="37" t="s">
        <v>413</v>
      </c>
    </row>
    <row r="27" spans="1:2" x14ac:dyDescent="0.4">
      <c r="A27" s="102" t="s">
        <v>414</v>
      </c>
      <c r="B27" s="36" t="s">
        <v>415</v>
      </c>
    </row>
    <row r="28" spans="1:2" x14ac:dyDescent="0.4">
      <c r="A28" s="102"/>
      <c r="B28" s="37" t="s">
        <v>416</v>
      </c>
    </row>
    <row r="29" spans="1:2" x14ac:dyDescent="0.4">
      <c r="A29" s="35" t="s">
        <v>417</v>
      </c>
      <c r="B29" s="35" t="s">
        <v>418</v>
      </c>
    </row>
    <row r="30" spans="1:2" x14ac:dyDescent="0.4">
      <c r="A30" s="102" t="s">
        <v>419</v>
      </c>
      <c r="B30" s="38" t="s">
        <v>420</v>
      </c>
    </row>
    <row r="31" spans="1:2" x14ac:dyDescent="0.4">
      <c r="A31" s="102"/>
      <c r="B31" s="39" t="s">
        <v>421</v>
      </c>
    </row>
    <row r="32" spans="1:2" x14ac:dyDescent="0.4">
      <c r="A32" s="102"/>
      <c r="B32" s="40" t="s">
        <v>422</v>
      </c>
    </row>
    <row r="33" spans="1:2" x14ac:dyDescent="0.4">
      <c r="A33" s="35" t="s">
        <v>423</v>
      </c>
      <c r="B33" s="35" t="s">
        <v>424</v>
      </c>
    </row>
    <row r="34" spans="1:2" x14ac:dyDescent="0.4">
      <c r="A34" s="102" t="s">
        <v>425</v>
      </c>
      <c r="B34" s="41" t="s">
        <v>426</v>
      </c>
    </row>
    <row r="35" spans="1:2" x14ac:dyDescent="0.4">
      <c r="A35" s="102"/>
      <c r="B35" s="43" t="s">
        <v>427</v>
      </c>
    </row>
    <row r="36" spans="1:2" x14ac:dyDescent="0.4">
      <c r="A36" s="102" t="s">
        <v>428</v>
      </c>
      <c r="B36" s="36" t="s">
        <v>429</v>
      </c>
    </row>
    <row r="37" spans="1:2" x14ac:dyDescent="0.4">
      <c r="A37" s="102"/>
      <c r="B37" s="37" t="s">
        <v>430</v>
      </c>
    </row>
    <row r="38" spans="1:2" x14ac:dyDescent="0.4">
      <c r="A38" s="35" t="s">
        <v>431</v>
      </c>
      <c r="B38" s="35" t="s">
        <v>432</v>
      </c>
    </row>
    <row r="39" spans="1:2" x14ac:dyDescent="0.4">
      <c r="A39" s="32"/>
      <c r="B39" s="32"/>
    </row>
    <row r="40" spans="1:2" x14ac:dyDescent="0.4">
      <c r="A40" s="32" t="s">
        <v>433</v>
      </c>
      <c r="B40" s="32"/>
    </row>
    <row r="41" spans="1:2" x14ac:dyDescent="0.4">
      <c r="A41" s="32"/>
      <c r="B41" s="32"/>
    </row>
    <row r="42" spans="1:2" x14ac:dyDescent="0.4">
      <c r="A42" s="32" t="s">
        <v>434</v>
      </c>
      <c r="B42" s="32"/>
    </row>
    <row r="43" spans="1:2" x14ac:dyDescent="0.4">
      <c r="A43" s="32"/>
      <c r="B43" s="32"/>
    </row>
    <row r="44" spans="1:2" x14ac:dyDescent="0.4">
      <c r="A44" s="33"/>
      <c r="B44" s="6"/>
    </row>
    <row r="45" spans="1:2" x14ac:dyDescent="0.4">
      <c r="A45" s="44" t="s">
        <v>435</v>
      </c>
      <c r="B45" s="6"/>
    </row>
    <row r="46" spans="1:2" x14ac:dyDescent="0.4">
      <c r="A46" s="44" t="s">
        <v>436</v>
      </c>
      <c r="B46" s="6"/>
    </row>
    <row r="47" spans="1:2" x14ac:dyDescent="0.4">
      <c r="A47" s="44" t="s">
        <v>437</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Suganuma Atsushi(菅沼　淳史)</cp:lastModifiedBy>
  <cp:revision/>
  <dcterms:created xsi:type="dcterms:W3CDTF">2025-06-13T10:44:17Z</dcterms:created>
  <dcterms:modified xsi:type="dcterms:W3CDTF">2026-03-18T02:52:30Z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